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bs\Unitech\unitech_control\coordinates_lists\"/>
    </mc:Choice>
  </mc:AlternateContent>
  <xr:revisionPtr revIDLastSave="0" documentId="13_ncr:1_{2BA186FF-6F98-4125-A2EA-FE12227F2765}" xr6:coauthVersionLast="47" xr6:coauthVersionMax="47" xr10:uidLastSave="{00000000-0000-0000-0000-000000000000}"/>
  <bookViews>
    <workbookView xWindow="-120" yWindow="-120" windowWidth="29040" windowHeight="15525" xr2:uid="{4F6BB7DC-5DE0-46FF-B55F-BA7785B2E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8" i="1" l="1"/>
  <c r="K19" i="1"/>
  <c r="K68" i="1"/>
  <c r="K58" i="1"/>
  <c r="K69" i="1"/>
  <c r="K67" i="1"/>
  <c r="K66" i="1"/>
  <c r="K65" i="1"/>
  <c r="K64" i="1"/>
  <c r="K63" i="1"/>
  <c r="K62" i="1"/>
  <c r="K61" i="1"/>
  <c r="K60" i="1"/>
  <c r="K59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7" i="1"/>
  <c r="K36" i="1"/>
  <c r="K35" i="1"/>
  <c r="K34" i="1"/>
  <c r="K33" i="1"/>
  <c r="K32" i="1"/>
  <c r="K31" i="1"/>
  <c r="K30" i="1"/>
</calcChain>
</file>

<file path=xl/sharedStrings.xml><?xml version="1.0" encoding="utf-8"?>
<sst xmlns="http://schemas.openxmlformats.org/spreadsheetml/2006/main" count="138" uniqueCount="135">
  <si>
    <t>EDM PILLAR 7</t>
  </si>
  <si>
    <t>EDM PILLAR 6</t>
  </si>
  <si>
    <t>EDM PILLAR 5</t>
  </si>
  <si>
    <t>PM 40</t>
  </si>
  <si>
    <t>PM 42</t>
  </si>
  <si>
    <t>EDM PILLAR 3</t>
  </si>
  <si>
    <t>EDM PILLAR 2</t>
  </si>
  <si>
    <t>PM 48</t>
  </si>
  <si>
    <t>U04</t>
  </si>
  <si>
    <t>PM 86alt</t>
  </si>
  <si>
    <t>LAE1 RMB</t>
  </si>
  <si>
    <t>LAE1 RMC</t>
  </si>
  <si>
    <t>LAE1 RMA</t>
  </si>
  <si>
    <t>U02</t>
  </si>
  <si>
    <t>LAE1 PSM 31107</t>
  </si>
  <si>
    <t>EDM PILLAR 1</t>
  </si>
  <si>
    <t>SM01</t>
  </si>
  <si>
    <t>GCP X2</t>
  </si>
  <si>
    <t>LAE200PNG</t>
  </si>
  <si>
    <t>NIC01</t>
  </si>
  <si>
    <t>PSM 35485 RM2</t>
  </si>
  <si>
    <t>PM 44</t>
  </si>
  <si>
    <t>PSM 35485 RM1</t>
  </si>
  <si>
    <t>PSM 35485</t>
  </si>
  <si>
    <t>PM 46</t>
  </si>
  <si>
    <t>GCP X1</t>
  </si>
  <si>
    <t>PM 43</t>
  </si>
  <si>
    <t>LAE2 RMC</t>
  </si>
  <si>
    <t>LAE2 RME</t>
  </si>
  <si>
    <t>LAE2 RMD</t>
  </si>
  <si>
    <t>PM 45</t>
  </si>
  <si>
    <t>PM 29</t>
  </si>
  <si>
    <t>PM 38</t>
  </si>
  <si>
    <t>PM 30</t>
  </si>
  <si>
    <t>PM 09</t>
  </si>
  <si>
    <t>PM 08</t>
  </si>
  <si>
    <t>PM 32</t>
  </si>
  <si>
    <t>Station</t>
  </si>
  <si>
    <t>Easting</t>
  </si>
  <si>
    <t>Northing</t>
  </si>
  <si>
    <t>RL MSL PNG08</t>
  </si>
  <si>
    <t>Combined Scale Factor</t>
  </si>
  <si>
    <t>E</t>
  </si>
  <si>
    <t>N</t>
  </si>
  <si>
    <t>H</t>
  </si>
  <si>
    <t>PNGMG2020 Zone 55</t>
  </si>
  <si>
    <t>UOT2020 Grid</t>
  </si>
  <si>
    <t>Latitude</t>
  </si>
  <si>
    <t>Longitude</t>
  </si>
  <si>
    <t>ellipsoid height</t>
  </si>
  <si>
    <t>N value</t>
  </si>
  <si>
    <t>PNG08</t>
  </si>
  <si>
    <t>Uncertainty 95% CL</t>
  </si>
  <si>
    <t>PNG2020 ellipsoidal coordinates</t>
  </si>
  <si>
    <t>SIP01</t>
  </si>
  <si>
    <t>GIP01</t>
  </si>
  <si>
    <t>SIP04</t>
  </si>
  <si>
    <t>SIP03</t>
  </si>
  <si>
    <t>GIP02</t>
  </si>
  <si>
    <t>SIP02</t>
  </si>
  <si>
    <t>SIP05</t>
  </si>
  <si>
    <t>SIP07</t>
  </si>
  <si>
    <t>SIP06</t>
  </si>
  <si>
    <t>SIP15</t>
  </si>
  <si>
    <t>SIP10</t>
  </si>
  <si>
    <t>SIP08</t>
  </si>
  <si>
    <t>SIP14</t>
  </si>
  <si>
    <t>SIP13</t>
  </si>
  <si>
    <t>SIP11</t>
  </si>
  <si>
    <t>SIP12</t>
  </si>
  <si>
    <t>SIP09</t>
  </si>
  <si>
    <t>DCS1</t>
  </si>
  <si>
    <t>DCS2</t>
  </si>
  <si>
    <t>DCS4</t>
  </si>
  <si>
    <t>DCS6</t>
  </si>
  <si>
    <t>DCS7</t>
  </si>
  <si>
    <t>DCS3</t>
  </si>
  <si>
    <t>DCS5</t>
  </si>
  <si>
    <t>MCS07</t>
  </si>
  <si>
    <t>MCS08</t>
  </si>
  <si>
    <t>MCS12</t>
  </si>
  <si>
    <t>MCS13</t>
  </si>
  <si>
    <t>MCS06</t>
  </si>
  <si>
    <t>MCS09</t>
  </si>
  <si>
    <t>MCS14</t>
  </si>
  <si>
    <t>PGCP04</t>
  </si>
  <si>
    <t>PGCP05</t>
  </si>
  <si>
    <t>PGCP02</t>
  </si>
  <si>
    <t>PGCP03</t>
  </si>
  <si>
    <t>PGCP06</t>
  </si>
  <si>
    <t>MCS10</t>
  </si>
  <si>
    <t>MCS11</t>
  </si>
  <si>
    <t>PGCP01</t>
  </si>
  <si>
    <t>LVP34</t>
  </si>
  <si>
    <t>LVP38</t>
  </si>
  <si>
    <t>LVP26</t>
  </si>
  <si>
    <t>LVP25</t>
  </si>
  <si>
    <t>LVP23</t>
  </si>
  <si>
    <t>LVP35</t>
  </si>
  <si>
    <t>LVP32</t>
  </si>
  <si>
    <t>LVP31</t>
  </si>
  <si>
    <t>LVP16</t>
  </si>
  <si>
    <t>LVP14</t>
  </si>
  <si>
    <t>LVP12</t>
  </si>
  <si>
    <t>LVP10</t>
  </si>
  <si>
    <t>LVP08</t>
  </si>
  <si>
    <t>LVP40</t>
  </si>
  <si>
    <t>LVP27</t>
  </si>
  <si>
    <t>LVP20</t>
  </si>
  <si>
    <t>LVP37 CHECK HT</t>
  </si>
  <si>
    <t>LVP30 CHECK HT</t>
  </si>
  <si>
    <t>LVP24 CHECK HT</t>
  </si>
  <si>
    <t>LVP01</t>
  </si>
  <si>
    <t>LVP05</t>
  </si>
  <si>
    <t>LVP02</t>
  </si>
  <si>
    <t>LVP07</t>
  </si>
  <si>
    <t>LVP22</t>
  </si>
  <si>
    <t>LVP18</t>
  </si>
  <si>
    <t>LVP17</t>
  </si>
  <si>
    <t>LVP15</t>
  </si>
  <si>
    <t>LVP33</t>
  </si>
  <si>
    <t>LVP36</t>
  </si>
  <si>
    <t>LVP28</t>
  </si>
  <si>
    <t>LVP21</t>
  </si>
  <si>
    <t>LVP19</t>
  </si>
  <si>
    <t>LVP11</t>
  </si>
  <si>
    <t>LVP06</t>
  </si>
  <si>
    <t>LVP04</t>
  </si>
  <si>
    <t>LVP29</t>
  </si>
  <si>
    <t>LVP39</t>
  </si>
  <si>
    <t>GCP45</t>
  </si>
  <si>
    <t>LVP09</t>
  </si>
  <si>
    <t>LVP13 TO CHK</t>
  </si>
  <si>
    <t>LVP03 BAD HT</t>
  </si>
  <si>
    <r>
      <t xml:space="preserve">PNGUoT Taraka Campus - Coordinate Schedule - PNG2020 (post-earthquake 2022) - </t>
    </r>
    <r>
      <rPr>
        <b/>
        <sz val="12"/>
        <color rgb="FFFF0000"/>
        <rFont val="Arial"/>
        <family val="2"/>
      </rPr>
      <t>Provisional 1st December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</si>
</sst>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0"/>
    <numFmt numFmtId="166" formatCode="0.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4" fillId="0" borderId="10" xfId="0" applyFont="1" applyBorder="1" applyAlignment="1">
      <alignment horizontal="center" vertical="center"/>
    </xf>
    <xf numFmtId="165" fontId="2" fillId="0" borderId="0" xfId="0" applyNumberFormat="1" applyFont="1"/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166" fontId="5" fillId="0" borderId="18" xfId="0" applyNumberFormat="1" applyFont="1" applyBorder="1" applyAlignment="1">
      <alignment horizontal="center" vertical="center" wrapText="1"/>
    </xf>
    <xf numFmtId="164" fontId="3" fillId="0" borderId="16" xfId="0" applyNumberFormat="1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 vertical="center" wrapText="1"/>
    </xf>
    <xf numFmtId="165" fontId="3" fillId="0" borderId="16" xfId="0" applyNumberFormat="1" applyFont="1" applyBorder="1" applyAlignment="1">
      <alignment horizontal="center" vertical="center" wrapText="1"/>
    </xf>
    <xf numFmtId="165" fontId="3" fillId="0" borderId="17" xfId="0" applyNumberFormat="1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left" vertical="center"/>
    </xf>
    <xf numFmtId="166" fontId="2" fillId="0" borderId="3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/>
    <xf numFmtId="0" fontId="2" fillId="0" borderId="7" xfId="0" applyFont="1" applyBorder="1" applyAlignment="1">
      <alignment horizontal="left" vertical="center"/>
    </xf>
    <xf numFmtId="166" fontId="2" fillId="0" borderId="8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165" fontId="2" fillId="0" borderId="0" xfId="0" applyNumberFormat="1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BE92-DEAA-40F9-A216-60B7F4F40BC0}">
  <dimension ref="A1:R120"/>
  <sheetViews>
    <sheetView tabSelected="1" workbookViewId="0">
      <selection activeCell="A2" sqref="A2:A3"/>
    </sheetView>
  </sheetViews>
  <sheetFormatPr defaultColWidth="14.28515625" defaultRowHeight="14.25" x14ac:dyDescent="0.2"/>
  <cols>
    <col min="1" max="1" width="15.42578125" style="1" customWidth="1"/>
    <col min="2" max="2" width="10.85546875" style="1" customWidth="1"/>
    <col min="3" max="3" width="11.7109375" style="1" customWidth="1"/>
    <col min="4" max="4" width="7.28515625" style="1" customWidth="1"/>
    <col min="5" max="5" width="10.140625" style="4" customWidth="1"/>
    <col min="6" max="6" width="8.85546875" style="2" customWidth="1"/>
    <col min="7" max="7" width="9.5703125" style="2" customWidth="1"/>
    <col min="8" max="8" width="11.42578125" style="4" customWidth="1"/>
    <col min="9" max="9" width="11.42578125" style="3" customWidth="1"/>
    <col min="10" max="10" width="12.85546875" style="3" customWidth="1"/>
    <col min="11" max="11" width="7.85546875" style="1" customWidth="1"/>
    <col min="12" max="12" width="6.5703125" style="1" customWidth="1"/>
    <col min="13" max="13" width="6.42578125" style="1" customWidth="1"/>
    <col min="14" max="14" width="6" style="1" customWidth="1"/>
    <col min="15" max="15" width="7.28515625" style="1" customWidth="1"/>
    <col min="16" max="16384" width="14.28515625" style="1"/>
  </cols>
  <sheetData>
    <row r="1" spans="1:16" ht="19.5" customHeight="1" thickBot="1" x14ac:dyDescent="0.25">
      <c r="A1" s="35" t="s">
        <v>134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7"/>
    </row>
    <row r="2" spans="1:16" ht="14.45" customHeight="1" x14ac:dyDescent="0.2">
      <c r="A2" s="50" t="s">
        <v>37</v>
      </c>
      <c r="B2" s="38" t="s">
        <v>45</v>
      </c>
      <c r="C2" s="39"/>
      <c r="D2" s="39"/>
      <c r="E2" s="40"/>
      <c r="F2" s="41" t="s">
        <v>46</v>
      </c>
      <c r="G2" s="42"/>
      <c r="H2" s="43"/>
      <c r="I2" s="44" t="s">
        <v>53</v>
      </c>
      <c r="J2" s="45"/>
      <c r="K2" s="46"/>
      <c r="L2" s="47" t="s">
        <v>52</v>
      </c>
      <c r="M2" s="48"/>
      <c r="N2" s="49"/>
      <c r="O2" s="5" t="s">
        <v>51</v>
      </c>
    </row>
    <row r="3" spans="1:16" ht="25.5" customHeight="1" thickBot="1" x14ac:dyDescent="0.25">
      <c r="A3" s="51"/>
      <c r="B3" s="16" t="s">
        <v>38</v>
      </c>
      <c r="C3" s="17" t="s">
        <v>39</v>
      </c>
      <c r="D3" s="18" t="s">
        <v>40</v>
      </c>
      <c r="E3" s="19" t="s">
        <v>41</v>
      </c>
      <c r="F3" s="20" t="s">
        <v>38</v>
      </c>
      <c r="G3" s="21" t="s">
        <v>39</v>
      </c>
      <c r="H3" s="19" t="s">
        <v>41</v>
      </c>
      <c r="I3" s="22" t="s">
        <v>47</v>
      </c>
      <c r="J3" s="23" t="s">
        <v>48</v>
      </c>
      <c r="K3" s="24" t="s">
        <v>49</v>
      </c>
      <c r="L3" s="16" t="s">
        <v>42</v>
      </c>
      <c r="M3" s="17" t="s">
        <v>43</v>
      </c>
      <c r="N3" s="25" t="s">
        <v>44</v>
      </c>
      <c r="O3" s="26" t="s">
        <v>50</v>
      </c>
    </row>
    <row r="4" spans="1:16" x14ac:dyDescent="0.2">
      <c r="A4" s="28" t="s">
        <v>71</v>
      </c>
      <c r="B4" s="13">
        <v>499303.55599999998</v>
      </c>
      <c r="C4" s="13">
        <v>9262812.2440000009</v>
      </c>
      <c r="D4" s="13">
        <v>58.11</v>
      </c>
      <c r="E4" s="29">
        <v>0.99957940459219741</v>
      </c>
      <c r="F4" s="13">
        <v>2703.4310643379536</v>
      </c>
      <c r="G4" s="13">
        <v>7512.2488531827694</v>
      </c>
      <c r="H4" s="29">
        <v>0.99999984392943408</v>
      </c>
      <c r="I4" s="14">
        <v>-6.669267178417571</v>
      </c>
      <c r="J4" s="14">
        <v>146.99369887703199</v>
      </c>
      <c r="K4" s="13">
        <v>131.02500000000001</v>
      </c>
      <c r="L4" s="13">
        <v>2E-3</v>
      </c>
      <c r="M4" s="13">
        <v>2E-3</v>
      </c>
      <c r="N4" s="13">
        <v>6.0000000000000001E-3</v>
      </c>
      <c r="O4" s="15">
        <v>72.915000000000006</v>
      </c>
      <c r="P4" s="6"/>
    </row>
    <row r="5" spans="1:16" x14ac:dyDescent="0.2">
      <c r="A5" s="30" t="s">
        <v>72</v>
      </c>
      <c r="B5" s="7">
        <v>499361.73200000002</v>
      </c>
      <c r="C5" s="7">
        <v>9262926.3619999997</v>
      </c>
      <c r="D5" s="7">
        <v>58.875999999999998</v>
      </c>
      <c r="E5" s="27">
        <v>0.99957928319290534</v>
      </c>
      <c r="F5" s="7">
        <v>2761.6315341093168</v>
      </c>
      <c r="G5" s="7">
        <v>7626.4148530663224</v>
      </c>
      <c r="H5" s="27">
        <v>0.99999972247907942</v>
      </c>
      <c r="I5" s="8">
        <v>-6.6682348633322883</v>
      </c>
      <c r="J5" s="8">
        <v>146.99422524030717</v>
      </c>
      <c r="K5" s="7">
        <v>131.791</v>
      </c>
      <c r="L5" s="7">
        <v>1E-3</v>
      </c>
      <c r="M5" s="7">
        <v>1E-3</v>
      </c>
      <c r="N5" s="7">
        <v>5.0000000000000001E-3</v>
      </c>
      <c r="O5" s="9">
        <v>72.915000000000006</v>
      </c>
      <c r="P5" s="6"/>
    </row>
    <row r="6" spans="1:16" x14ac:dyDescent="0.2">
      <c r="A6" s="30" t="s">
        <v>76</v>
      </c>
      <c r="B6" s="7">
        <v>499394.67</v>
      </c>
      <c r="C6" s="7">
        <v>9263024.3949999996</v>
      </c>
      <c r="D6" s="7">
        <v>59.832999999999998</v>
      </c>
      <c r="E6" s="27">
        <v>0.99957913237417784</v>
      </c>
      <c r="F6" s="7">
        <v>2794.5833883681485</v>
      </c>
      <c r="G6" s="7">
        <v>7724.4890873386757</v>
      </c>
      <c r="H6" s="27">
        <v>0.99999957159691533</v>
      </c>
      <c r="I6" s="8">
        <v>-6.6673480515018113</v>
      </c>
      <c r="J6" s="8">
        <v>146.99452325825169</v>
      </c>
      <c r="K6" s="7">
        <v>132.74700000000001</v>
      </c>
      <c r="L6" s="7">
        <v>2E-3</v>
      </c>
      <c r="M6" s="7">
        <v>1E-3</v>
      </c>
      <c r="N6" s="7">
        <v>4.0000000000000001E-3</v>
      </c>
      <c r="O6" s="9">
        <v>72.914000000000001</v>
      </c>
      <c r="P6" s="6"/>
    </row>
    <row r="7" spans="1:16" x14ac:dyDescent="0.2">
      <c r="A7" s="30" t="s">
        <v>73</v>
      </c>
      <c r="B7" s="7">
        <v>499439.17200000002</v>
      </c>
      <c r="C7" s="7">
        <v>9263143.4900000002</v>
      </c>
      <c r="D7" s="7">
        <v>60.756</v>
      </c>
      <c r="E7" s="27">
        <v>0.99957898629415953</v>
      </c>
      <c r="F7" s="7">
        <v>2839.1041066316507</v>
      </c>
      <c r="G7" s="7">
        <v>7843.6341806312557</v>
      </c>
      <c r="H7" s="27">
        <v>0.99999942545545351</v>
      </c>
      <c r="I7" s="8">
        <v>-6.6662707118109239</v>
      </c>
      <c r="J7" s="8">
        <v>146.99492590253936</v>
      </c>
      <c r="K7" s="7">
        <v>133.672</v>
      </c>
      <c r="L7" s="7">
        <v>1E-3</v>
      </c>
      <c r="M7" s="7">
        <v>1E-3</v>
      </c>
      <c r="N7" s="7">
        <v>4.0000000000000001E-3</v>
      </c>
      <c r="O7" s="9">
        <v>72.915999999999997</v>
      </c>
      <c r="P7" s="6"/>
    </row>
    <row r="8" spans="1:16" x14ac:dyDescent="0.2">
      <c r="A8" s="30" t="s">
        <v>77</v>
      </c>
      <c r="B8" s="7">
        <v>499463.69300000003</v>
      </c>
      <c r="C8" s="7">
        <v>9263231.2390000001</v>
      </c>
      <c r="D8" s="7">
        <v>61.027999999999999</v>
      </c>
      <c r="E8" s="27">
        <v>0.99957894272269676</v>
      </c>
      <c r="F8" s="7">
        <v>2863.6354205627026</v>
      </c>
      <c r="G8" s="7">
        <v>7931.4200892859371</v>
      </c>
      <c r="H8" s="27">
        <v>0.99999938186566373</v>
      </c>
      <c r="I8" s="8">
        <v>-6.6654769287291593</v>
      </c>
      <c r="J8" s="8">
        <v>146.99514776435885</v>
      </c>
      <c r="K8" s="7">
        <v>133.947</v>
      </c>
      <c r="L8" s="7">
        <v>1E-3</v>
      </c>
      <c r="M8" s="7">
        <v>1E-3</v>
      </c>
      <c r="N8" s="7">
        <v>4.0000000000000001E-3</v>
      </c>
      <c r="O8" s="9">
        <v>72.918999999999997</v>
      </c>
      <c r="P8" s="6"/>
    </row>
    <row r="9" spans="1:16" x14ac:dyDescent="0.2">
      <c r="A9" s="30" t="s">
        <v>74</v>
      </c>
      <c r="B9" s="7">
        <v>499533.35700000002</v>
      </c>
      <c r="C9" s="7">
        <v>9263433.6099999994</v>
      </c>
      <c r="D9" s="7">
        <v>63.353999999999999</v>
      </c>
      <c r="E9" s="27">
        <v>0.9995785751983266</v>
      </c>
      <c r="F9" s="7">
        <v>2933.3287223739353</v>
      </c>
      <c r="G9" s="7">
        <v>8133.8762098158477</v>
      </c>
      <c r="H9" s="27">
        <v>0.99999901418670678</v>
      </c>
      <c r="I9" s="8">
        <v>-6.6636462682335313</v>
      </c>
      <c r="J9" s="8">
        <v>146.99577806480337</v>
      </c>
      <c r="K9" s="7">
        <v>136.279</v>
      </c>
      <c r="L9" s="7">
        <v>2E-3</v>
      </c>
      <c r="M9" s="7">
        <v>2E-3</v>
      </c>
      <c r="N9" s="7">
        <v>6.0000000000000001E-3</v>
      </c>
      <c r="O9" s="9">
        <v>72.924999999999997</v>
      </c>
      <c r="P9" s="6"/>
    </row>
    <row r="10" spans="1:16" x14ac:dyDescent="0.2">
      <c r="A10" s="30" t="s">
        <v>75</v>
      </c>
      <c r="B10" s="7">
        <v>499334.98100000003</v>
      </c>
      <c r="C10" s="7">
        <v>9263505.3359999992</v>
      </c>
      <c r="D10" s="7">
        <v>62.848999999999997</v>
      </c>
      <c r="E10" s="27">
        <v>0.99957865690539438</v>
      </c>
      <c r="F10" s="7">
        <v>2734.869282208429</v>
      </c>
      <c r="G10" s="7">
        <v>8205.6323789366288</v>
      </c>
      <c r="H10" s="27">
        <v>0.99999909592814185</v>
      </c>
      <c r="I10" s="8">
        <v>-6.6629974097425766</v>
      </c>
      <c r="J10" s="8">
        <v>146.99398327323041</v>
      </c>
      <c r="K10" s="7">
        <v>135.77699999999999</v>
      </c>
      <c r="L10" s="7">
        <v>2E-3</v>
      </c>
      <c r="M10" s="7">
        <v>1E-3</v>
      </c>
      <c r="N10" s="7">
        <v>5.0000000000000001E-3</v>
      </c>
      <c r="O10" s="9">
        <v>72.927999999999997</v>
      </c>
      <c r="P10" s="6"/>
    </row>
    <row r="11" spans="1:16" x14ac:dyDescent="0.2">
      <c r="A11" s="31" t="s">
        <v>15</v>
      </c>
      <c r="B11" s="7">
        <v>498962.65816314198</v>
      </c>
      <c r="C11" s="7">
        <v>9262331.1248333324</v>
      </c>
      <c r="D11" s="7">
        <v>55.229751210983395</v>
      </c>
      <c r="E11" s="27">
        <v>0.99957986445503799</v>
      </c>
      <c r="F11" s="7">
        <v>2362.3898403155008</v>
      </c>
      <c r="G11" s="7">
        <v>7030.9273199760355</v>
      </c>
      <c r="H11" s="27">
        <v>1.0000003039857004</v>
      </c>
      <c r="I11" s="8">
        <v>-6.6736193754357327</v>
      </c>
      <c r="J11" s="8">
        <v>146.99061449858107</v>
      </c>
      <c r="K11" s="7">
        <v>128.14675121098341</v>
      </c>
      <c r="L11" s="7">
        <v>2.1799482297434357E-2</v>
      </c>
      <c r="M11" s="7">
        <v>2.9800001606362179E-3</v>
      </c>
      <c r="N11" s="7">
        <v>6.2551631839448665E-3</v>
      </c>
      <c r="O11" s="9">
        <v>72.917000000000016</v>
      </c>
    </row>
    <row r="12" spans="1:16" x14ac:dyDescent="0.2">
      <c r="A12" s="31" t="s">
        <v>6</v>
      </c>
      <c r="B12" s="7">
        <v>498939.72700000001</v>
      </c>
      <c r="C12" s="7">
        <v>9262259.7479999997</v>
      </c>
      <c r="D12" s="7">
        <v>54.453000000000003</v>
      </c>
      <c r="E12" s="27">
        <v>0.99957998702172224</v>
      </c>
      <c r="F12" s="7">
        <v>2339.4490319517354</v>
      </c>
      <c r="G12" s="7">
        <v>6959.5204643877223</v>
      </c>
      <c r="H12" s="27">
        <v>1.0000004266039384</v>
      </c>
      <c r="I12" s="8">
        <v>-6.6742650524521707</v>
      </c>
      <c r="J12" s="8">
        <v>146.9904070129771</v>
      </c>
      <c r="K12" s="7">
        <v>127.371</v>
      </c>
      <c r="L12" s="7">
        <v>4.0000000000000001E-3</v>
      </c>
      <c r="M12" s="7">
        <v>4.0000000000000001E-3</v>
      </c>
      <c r="N12" s="7">
        <v>8.0000000000000002E-3</v>
      </c>
      <c r="O12" s="9">
        <v>72.917999999999992</v>
      </c>
    </row>
    <row r="13" spans="1:16" x14ac:dyDescent="0.2">
      <c r="A13" s="31" t="s">
        <v>5</v>
      </c>
      <c r="B13" s="7">
        <v>498919.87099999998</v>
      </c>
      <c r="C13" s="7">
        <v>9262197.9550000001</v>
      </c>
      <c r="D13" s="7">
        <v>53.662999999999997</v>
      </c>
      <c r="E13" s="27">
        <v>0.99958011175939943</v>
      </c>
      <c r="F13" s="7">
        <v>2319.5846801931943</v>
      </c>
      <c r="G13" s="7">
        <v>6897.7014732483076</v>
      </c>
      <c r="H13" s="27">
        <v>1.0000005513940822</v>
      </c>
      <c r="I13" s="8">
        <v>-6.6748240337338318</v>
      </c>
      <c r="J13" s="8">
        <v>146.99022735160673</v>
      </c>
      <c r="K13" s="7">
        <v>126.581</v>
      </c>
      <c r="L13" s="7">
        <v>6.0000000000000001E-3</v>
      </c>
      <c r="M13" s="7">
        <v>6.0000000000000001E-3</v>
      </c>
      <c r="N13" s="7">
        <v>1.6E-2</v>
      </c>
      <c r="O13" s="9">
        <v>72.918000000000006</v>
      </c>
    </row>
    <row r="14" spans="1:16" x14ac:dyDescent="0.2">
      <c r="A14" s="31" t="s">
        <v>2</v>
      </c>
      <c r="B14" s="7">
        <v>498826.40100000001</v>
      </c>
      <c r="C14" s="7">
        <v>9261907.0299999993</v>
      </c>
      <c r="D14" s="7">
        <v>51.881999999999991</v>
      </c>
      <c r="E14" s="27">
        <v>0.99958039423672074</v>
      </c>
      <c r="F14" s="7">
        <v>2226.0753651934333</v>
      </c>
      <c r="G14" s="7">
        <v>6606.654105466092</v>
      </c>
      <c r="H14" s="27">
        <v>1.0000008339902178</v>
      </c>
      <c r="I14" s="8">
        <v>-6.6774557487202584</v>
      </c>
      <c r="J14" s="8">
        <v>146.98938160939343</v>
      </c>
      <c r="K14" s="7">
        <v>124.801</v>
      </c>
      <c r="L14" s="7">
        <v>1.2E-2</v>
      </c>
      <c r="M14" s="7">
        <v>1.2E-2</v>
      </c>
      <c r="N14" s="7">
        <v>3.4000000000000002E-2</v>
      </c>
      <c r="O14" s="9">
        <v>72.919000000000011</v>
      </c>
    </row>
    <row r="15" spans="1:16" x14ac:dyDescent="0.2">
      <c r="A15" s="31" t="s">
        <v>1</v>
      </c>
      <c r="B15" s="7">
        <v>498782.8335985915</v>
      </c>
      <c r="C15" s="7">
        <v>9261771.4230000004</v>
      </c>
      <c r="D15" s="7">
        <v>51.107799999999997</v>
      </c>
      <c r="E15" s="27">
        <v>0.99958051693925321</v>
      </c>
      <c r="F15" s="7">
        <v>2182.4896386273867</v>
      </c>
      <c r="G15" s="7">
        <v>6470.9900669598719</v>
      </c>
      <c r="H15" s="27">
        <v>1.0000009567443611</v>
      </c>
      <c r="I15" s="8">
        <v>-6.6786824525122519</v>
      </c>
      <c r="J15" s="8">
        <v>146.98898739649351</v>
      </c>
      <c r="K15" s="7">
        <v>124.02879999999999</v>
      </c>
      <c r="L15" s="7">
        <v>6.8029467775297028E-3</v>
      </c>
      <c r="M15" s="7">
        <v>9.6987276327791215E-3</v>
      </c>
      <c r="N15" s="7">
        <v>5.1359999999926916E-3</v>
      </c>
      <c r="O15" s="9">
        <v>72.920999999999992</v>
      </c>
    </row>
    <row r="16" spans="1:16" x14ac:dyDescent="0.2">
      <c r="A16" s="31" t="s">
        <v>0</v>
      </c>
      <c r="B16" s="7">
        <v>498733.24299999996</v>
      </c>
      <c r="C16" s="7">
        <v>9261617.0920000002</v>
      </c>
      <c r="D16" s="7">
        <v>50.703000000000003</v>
      </c>
      <c r="E16" s="27">
        <v>0.99958058211107359</v>
      </c>
      <c r="F16" s="7">
        <v>2132.8781814255926</v>
      </c>
      <c r="G16" s="7">
        <v>6316.5941528335679</v>
      </c>
      <c r="H16" s="27">
        <v>1.0000010219435937</v>
      </c>
      <c r="I16" s="8">
        <v>-6.6800785335411552</v>
      </c>
      <c r="J16" s="8">
        <v>146.98853868123456</v>
      </c>
      <c r="K16" s="7">
        <v>123.624</v>
      </c>
      <c r="L16" s="7">
        <v>2E-3</v>
      </c>
      <c r="M16" s="7">
        <v>2E-3</v>
      </c>
      <c r="N16" s="7">
        <v>8.0000000000000002E-3</v>
      </c>
      <c r="O16" s="9">
        <v>72.920999999999992</v>
      </c>
    </row>
    <row r="17" spans="1:16" x14ac:dyDescent="0.2">
      <c r="A17" s="31" t="s">
        <v>25</v>
      </c>
      <c r="B17" s="7">
        <v>499239.163</v>
      </c>
      <c r="C17" s="7">
        <v>9262361.607400002</v>
      </c>
      <c r="D17" s="7">
        <v>54.31</v>
      </c>
      <c r="E17" s="27">
        <v>0.99958000307072337</v>
      </c>
      <c r="F17" s="7">
        <v>2639.0109795977214</v>
      </c>
      <c r="G17" s="7">
        <v>7061.4227081084391</v>
      </c>
      <c r="H17" s="27">
        <v>1.0000004426596898</v>
      </c>
      <c r="I17" s="8">
        <v>-6.6733436687637386</v>
      </c>
      <c r="J17" s="8">
        <v>146.99311622021793</v>
      </c>
      <c r="K17" s="7">
        <v>127.226</v>
      </c>
      <c r="L17" s="7">
        <v>3.9599999790079898E-3</v>
      </c>
      <c r="M17" s="7">
        <v>7.4879994392402791E-3</v>
      </c>
      <c r="N17" s="7">
        <v>2.1600000000010028E-2</v>
      </c>
      <c r="O17" s="9">
        <v>72.915999999999997</v>
      </c>
    </row>
    <row r="18" spans="1:16" x14ac:dyDescent="0.2">
      <c r="A18" s="31" t="s">
        <v>17</v>
      </c>
      <c r="B18" s="7">
        <v>499324.18620000005</v>
      </c>
      <c r="C18" s="7">
        <v>9262334.3288000003</v>
      </c>
      <c r="D18" s="7">
        <v>54.324756756756756</v>
      </c>
      <c r="E18" s="27">
        <v>0.99957999923892615</v>
      </c>
      <c r="F18" s="7">
        <v>2724.0699417363812</v>
      </c>
      <c r="G18" s="7">
        <v>7034.1326342844404</v>
      </c>
      <c r="H18" s="27">
        <v>1.0000004388262809</v>
      </c>
      <c r="I18" s="8">
        <v>-6.6735904434844144</v>
      </c>
      <c r="J18" s="8">
        <v>146.99388547651586</v>
      </c>
      <c r="K18" s="7">
        <v>127.24075675675675</v>
      </c>
      <c r="L18" s="7">
        <v>1.0623999998904765E-2</v>
      </c>
      <c r="M18" s="7">
        <v>9.0560011565685647E-3</v>
      </c>
      <c r="N18" s="7">
        <v>2.0540540540536854E-2</v>
      </c>
      <c r="O18" s="9">
        <v>72.915999999999997</v>
      </c>
    </row>
    <row r="19" spans="1:16" x14ac:dyDescent="0.2">
      <c r="A19" s="32" t="s">
        <v>130</v>
      </c>
      <c r="B19" s="7">
        <v>500061.72700000001</v>
      </c>
      <c r="C19" s="7">
        <v>9263244.1659999993</v>
      </c>
      <c r="D19" s="7">
        <v>64.313999999999993</v>
      </c>
      <c r="E19" s="27">
        <v>0.99957842255487306</v>
      </c>
      <c r="F19" s="7">
        <v>3461.9209633781156</v>
      </c>
      <c r="G19" s="7">
        <v>7944.3525265915086</v>
      </c>
      <c r="H19" s="27">
        <v>0.99999886147904882</v>
      </c>
      <c r="I19" s="8">
        <v>-6.6653600134557651</v>
      </c>
      <c r="J19" s="8">
        <v>147.00055847467738</v>
      </c>
      <c r="K19" s="7">
        <f>D19+O19</f>
        <v>137.233</v>
      </c>
      <c r="L19" s="7">
        <v>3.9199999999999999E-3</v>
      </c>
      <c r="M19" s="7">
        <v>3.9199999999999999E-3</v>
      </c>
      <c r="N19" s="7">
        <v>1.176E-2</v>
      </c>
      <c r="O19" s="9">
        <v>72.918999999999997</v>
      </c>
    </row>
    <row r="20" spans="1:16" x14ac:dyDescent="0.2">
      <c r="A20" s="30" t="s">
        <v>55</v>
      </c>
      <c r="B20" s="7">
        <v>499140.962</v>
      </c>
      <c r="C20" s="7">
        <v>9262756.5920000002</v>
      </c>
      <c r="D20" s="7">
        <v>57.005000000000003</v>
      </c>
      <c r="E20" s="27">
        <v>0.99957958130387614</v>
      </c>
      <c r="F20" s="7">
        <v>2540.7686746622167</v>
      </c>
      <c r="G20" s="7">
        <v>7456.5734450466698</v>
      </c>
      <c r="H20" s="27">
        <v>1.0000000207154405</v>
      </c>
      <c r="I20" s="8">
        <v>-6.669770590337496</v>
      </c>
      <c r="J20" s="8">
        <v>146.99222778918173</v>
      </c>
      <c r="K20" s="7">
        <v>129.92099999999999</v>
      </c>
      <c r="L20" s="7">
        <v>2E-3</v>
      </c>
      <c r="M20" s="7">
        <v>1E-3</v>
      </c>
      <c r="N20" s="7">
        <v>5.0000000000000001E-3</v>
      </c>
      <c r="O20" s="9">
        <v>72.915999999999997</v>
      </c>
      <c r="P20" s="6"/>
    </row>
    <row r="21" spans="1:16" x14ac:dyDescent="0.2">
      <c r="A21" s="30" t="s">
        <v>58</v>
      </c>
      <c r="B21" s="7">
        <v>499249.93900000001</v>
      </c>
      <c r="C21" s="7">
        <v>9263241.6319999993</v>
      </c>
      <c r="D21" s="7">
        <v>60.49</v>
      </c>
      <c r="E21" s="27">
        <v>0.99957903071504084</v>
      </c>
      <c r="F21" s="7">
        <v>2649.7915121584851</v>
      </c>
      <c r="G21" s="7">
        <v>7941.8174607499968</v>
      </c>
      <c r="H21" s="27">
        <v>0.99999946989501842</v>
      </c>
      <c r="I21" s="8">
        <v>-6.6653828899237926</v>
      </c>
      <c r="J21" s="8">
        <v>146.99321382711824</v>
      </c>
      <c r="K21" s="7">
        <v>133.40899999999999</v>
      </c>
      <c r="L21" s="7">
        <v>1E-3</v>
      </c>
      <c r="M21" s="7">
        <v>1E-3</v>
      </c>
      <c r="N21" s="7">
        <v>5.0000000000000001E-3</v>
      </c>
      <c r="O21" s="9">
        <v>72.918999999999997</v>
      </c>
      <c r="P21" s="6"/>
    </row>
    <row r="22" spans="1:16" x14ac:dyDescent="0.2">
      <c r="A22" s="31" t="s">
        <v>14</v>
      </c>
      <c r="B22" s="7">
        <v>499247.473</v>
      </c>
      <c r="C22" s="7">
        <v>9262322.1710000001</v>
      </c>
      <c r="D22" s="7">
        <v>67.272999999999996</v>
      </c>
      <c r="E22" s="27">
        <v>0.99957796475211969</v>
      </c>
      <c r="F22" s="7">
        <v>2647.3244749181199</v>
      </c>
      <c r="G22" s="7">
        <v>7021.969720516121</v>
      </c>
      <c r="H22" s="27">
        <v>0.99999840348373636</v>
      </c>
      <c r="I22" s="8">
        <v>-6.6737004149021084</v>
      </c>
      <c r="J22" s="8">
        <v>146.99319140118411</v>
      </c>
      <c r="K22" s="7">
        <v>140.18900000000002</v>
      </c>
      <c r="L22" s="7">
        <v>0</v>
      </c>
      <c r="M22" s="7">
        <v>0</v>
      </c>
      <c r="N22" s="7">
        <v>0</v>
      </c>
      <c r="O22" s="9">
        <v>72.916000000000025</v>
      </c>
    </row>
    <row r="23" spans="1:16" x14ac:dyDescent="0.2">
      <c r="A23" s="31" t="s">
        <v>12</v>
      </c>
      <c r="B23" s="7">
        <v>499233.95408</v>
      </c>
      <c r="C23" s="7">
        <v>9262311.0639999993</v>
      </c>
      <c r="D23" s="7">
        <v>54.567328859060424</v>
      </c>
      <c r="E23" s="27">
        <v>0.99957996270969063</v>
      </c>
      <c r="F23" s="7">
        <v>2633.799868640549</v>
      </c>
      <c r="G23" s="7">
        <v>7010.8580487306463</v>
      </c>
      <c r="H23" s="27">
        <v>1.0000004022816806</v>
      </c>
      <c r="I23" s="8">
        <v>-6.6738008880823649</v>
      </c>
      <c r="J23" s="8">
        <v>146.99306908535308</v>
      </c>
      <c r="K23" s="7">
        <v>127.48332885906042</v>
      </c>
      <c r="L23" s="7">
        <v>4.8224000245332722E-3</v>
      </c>
      <c r="M23" s="7">
        <v>1.7679998919367793E-2</v>
      </c>
      <c r="N23" s="7">
        <v>2.9208053691188282E-3</v>
      </c>
      <c r="O23" s="9">
        <v>72.915999999999997</v>
      </c>
    </row>
    <row r="24" spans="1:16" x14ac:dyDescent="0.2">
      <c r="A24" s="31" t="s">
        <v>10</v>
      </c>
      <c r="B24" s="7">
        <v>499251.13099999999</v>
      </c>
      <c r="C24" s="7">
        <v>9262306.0950000007</v>
      </c>
      <c r="D24" s="7">
        <v>54.260000000000005</v>
      </c>
      <c r="E24" s="27">
        <v>0.99958001086608916</v>
      </c>
      <c r="F24" s="7">
        <v>2650.9840135321201</v>
      </c>
      <c r="G24" s="7">
        <v>7005.8869586898945</v>
      </c>
      <c r="H24" s="27">
        <v>1.0000004504583344</v>
      </c>
      <c r="I24" s="8">
        <v>-6.6738458402467042</v>
      </c>
      <c r="J24" s="8">
        <v>146.99322449547853</v>
      </c>
      <c r="K24" s="7">
        <v>127.175</v>
      </c>
      <c r="L24" s="7">
        <v>4.0000000000000001E-3</v>
      </c>
      <c r="M24" s="7">
        <v>2E-3</v>
      </c>
      <c r="N24" s="7">
        <v>0.01</v>
      </c>
      <c r="O24" s="9">
        <v>72.914999999999992</v>
      </c>
    </row>
    <row r="25" spans="1:16" x14ac:dyDescent="0.2">
      <c r="A25" s="31" t="s">
        <v>11</v>
      </c>
      <c r="B25" s="7">
        <v>499264.02550194558</v>
      </c>
      <c r="C25" s="7">
        <v>9262309.4716549311</v>
      </c>
      <c r="D25" s="7">
        <v>54.241274626954635</v>
      </c>
      <c r="E25" s="27">
        <v>0.99958001341606806</v>
      </c>
      <c r="F25" s="7">
        <v>2663.8839391133306</v>
      </c>
      <c r="G25" s="7">
        <v>7009.2650338960811</v>
      </c>
      <c r="H25" s="27">
        <v>1.0000004530093862</v>
      </c>
      <c r="I25" s="8">
        <v>-6.6738152963230144</v>
      </c>
      <c r="J25" s="8">
        <v>146.99334116082966</v>
      </c>
      <c r="K25" s="7">
        <v>127.15727462695463</v>
      </c>
      <c r="L25" s="7">
        <v>1.312749938643671E-2</v>
      </c>
      <c r="M25" s="7">
        <v>4.657713422264168E-3</v>
      </c>
      <c r="N25" s="7">
        <v>2.7396814992007669E-2</v>
      </c>
      <c r="O25" s="9">
        <v>72.915999999999997</v>
      </c>
    </row>
    <row r="26" spans="1:16" x14ac:dyDescent="0.2">
      <c r="A26" s="31" t="s">
        <v>27</v>
      </c>
      <c r="B26" s="7">
        <v>499283.31735714286</v>
      </c>
      <c r="C26" s="7">
        <v>9262374.2965454552</v>
      </c>
      <c r="D26" s="7">
        <v>55.303846153846166</v>
      </c>
      <c r="E26" s="27">
        <v>0.99957984600124317</v>
      </c>
      <c r="F26" s="7">
        <v>2683.1839087814351</v>
      </c>
      <c r="G26" s="7">
        <v>7074.1171908226097</v>
      </c>
      <c r="H26" s="27">
        <v>1.0000002855241434</v>
      </c>
      <c r="I26" s="8">
        <v>-6.6732288870672072</v>
      </c>
      <c r="J26" s="8">
        <v>146.99351571448332</v>
      </c>
      <c r="K26" s="7">
        <v>128.21984615384619</v>
      </c>
      <c r="L26" s="7">
        <v>8.9338878158896559E-3</v>
      </c>
      <c r="M26" s="7">
        <v>6.2911849577039457E-3</v>
      </c>
      <c r="N26" s="7">
        <v>1.8223637952154294E-2</v>
      </c>
      <c r="O26" s="9">
        <v>72.916000000000025</v>
      </c>
    </row>
    <row r="27" spans="1:16" x14ac:dyDescent="0.2">
      <c r="A27" s="31" t="s">
        <v>29</v>
      </c>
      <c r="B27" s="7">
        <v>499252.81800000003</v>
      </c>
      <c r="C27" s="7">
        <v>9262377.4460000005</v>
      </c>
      <c r="D27" s="7">
        <v>54.84</v>
      </c>
      <c r="E27" s="27">
        <v>0.99957991948411384</v>
      </c>
      <c r="F27" s="7">
        <v>2652.6717231108764</v>
      </c>
      <c r="G27" s="7">
        <v>7077.2679700794397</v>
      </c>
      <c r="H27" s="27">
        <v>1.0000003590379225</v>
      </c>
      <c r="I27" s="8">
        <v>-6.6732003931222339</v>
      </c>
      <c r="J27" s="8">
        <v>146.99323976771547</v>
      </c>
      <c r="K27" s="7">
        <v>127.756</v>
      </c>
      <c r="L27" s="7">
        <v>2E-3</v>
      </c>
      <c r="M27" s="7">
        <v>2E-3</v>
      </c>
      <c r="N27" s="7">
        <v>1.2E-2</v>
      </c>
      <c r="O27" s="9">
        <v>72.915999999999997</v>
      </c>
    </row>
    <row r="28" spans="1:16" x14ac:dyDescent="0.2">
      <c r="A28" s="31" t="s">
        <v>28</v>
      </c>
      <c r="B28" s="7">
        <v>499222.43976923078</v>
      </c>
      <c r="C28" s="7">
        <v>9262377.1872307695</v>
      </c>
      <c r="D28" s="7">
        <v>54.720678899082571</v>
      </c>
      <c r="E28" s="27">
        <v>0.99957993881817264</v>
      </c>
      <c r="F28" s="7">
        <v>2622.2807147654089</v>
      </c>
      <c r="G28" s="7">
        <v>7077.0090920060175</v>
      </c>
      <c r="H28" s="27">
        <v>1.0000003783801132</v>
      </c>
      <c r="I28" s="8">
        <v>-6.673202730126742</v>
      </c>
      <c r="J28" s="8">
        <v>146.99296491644722</v>
      </c>
      <c r="K28" s="7">
        <v>127.63667889908257</v>
      </c>
      <c r="L28" s="7">
        <v>5.6184615523626026E-3</v>
      </c>
      <c r="M28" s="7">
        <v>5.6184604465961451E-3</v>
      </c>
      <c r="N28" s="7">
        <v>1.0631192660553341E-2</v>
      </c>
      <c r="O28" s="9">
        <v>72.915999999999997</v>
      </c>
    </row>
    <row r="29" spans="1:16" x14ac:dyDescent="0.2">
      <c r="A29" s="31" t="s">
        <v>18</v>
      </c>
      <c r="B29" s="7">
        <v>499247.31099999999</v>
      </c>
      <c r="C29" s="7">
        <v>9262340.7880000006</v>
      </c>
      <c r="D29" s="7">
        <v>67.242999999999967</v>
      </c>
      <c r="E29" s="27">
        <v>0.99957796947190625</v>
      </c>
      <c r="F29" s="7">
        <v>2647.1624067790858</v>
      </c>
      <c r="G29" s="7">
        <v>7040.5945511292666</v>
      </c>
      <c r="H29" s="27">
        <v>0.99999840820550812</v>
      </c>
      <c r="I29" s="8">
        <v>-6.673532003885942</v>
      </c>
      <c r="J29" s="8">
        <v>146.99318993779193</v>
      </c>
      <c r="K29" s="7">
        <v>140.15899999999999</v>
      </c>
      <c r="L29" s="7">
        <v>2E-3</v>
      </c>
      <c r="M29" s="7">
        <v>2E-3</v>
      </c>
      <c r="N29" s="7">
        <v>2E-3</v>
      </c>
      <c r="O29" s="9">
        <v>72.916000000000025</v>
      </c>
    </row>
    <row r="30" spans="1:16" x14ac:dyDescent="0.2">
      <c r="A30" s="32" t="s">
        <v>112</v>
      </c>
      <c r="B30" s="7">
        <v>499662.723</v>
      </c>
      <c r="C30" s="7">
        <v>9263949.7819999997</v>
      </c>
      <c r="D30" s="7">
        <v>67.715000000000003</v>
      </c>
      <c r="E30" s="27">
        <v>0.99957788540226067</v>
      </c>
      <c r="F30" s="7">
        <v>3062.7491358148541</v>
      </c>
      <c r="G30" s="7">
        <v>8650.2653201451758</v>
      </c>
      <c r="H30" s="27">
        <v>0.99999832410050149</v>
      </c>
      <c r="I30" s="8">
        <v>-6.6589769378444714</v>
      </c>
      <c r="J30" s="8">
        <v>146.99694852772964</v>
      </c>
      <c r="K30" s="7">
        <f>D30+O30</f>
        <v>140.65800000000002</v>
      </c>
      <c r="L30" s="7">
        <v>9.7999999999999997E-3</v>
      </c>
      <c r="M30" s="7">
        <v>7.8399999999999997E-3</v>
      </c>
      <c r="N30" s="7">
        <v>3.5279999999999999E-2</v>
      </c>
      <c r="O30" s="9">
        <v>72.942999999999998</v>
      </c>
    </row>
    <row r="31" spans="1:16" x14ac:dyDescent="0.2">
      <c r="A31" s="32" t="s">
        <v>114</v>
      </c>
      <c r="B31" s="7">
        <v>499854.80200000003</v>
      </c>
      <c r="C31" s="7">
        <v>9264006.3039999995</v>
      </c>
      <c r="D31" s="7">
        <v>68.576999999999998</v>
      </c>
      <c r="E31" s="27">
        <v>0.99957774840918112</v>
      </c>
      <c r="F31" s="7">
        <v>3254.9089273661239</v>
      </c>
      <c r="G31" s="7">
        <v>8706.8110942165367</v>
      </c>
      <c r="H31" s="27">
        <v>0.99999818704980026</v>
      </c>
      <c r="I31" s="8">
        <v>-6.6584656422964725</v>
      </c>
      <c r="J31" s="8">
        <v>146.99868634027123</v>
      </c>
      <c r="K31" s="7">
        <f>D31+O31</f>
        <v>141.52199999999999</v>
      </c>
      <c r="L31" s="7">
        <v>3.9199999999999999E-3</v>
      </c>
      <c r="M31" s="7">
        <v>3.9199999999999999E-3</v>
      </c>
      <c r="N31" s="7">
        <v>1.372E-2</v>
      </c>
      <c r="O31" s="9">
        <v>72.944999999999993</v>
      </c>
    </row>
    <row r="32" spans="1:16" x14ac:dyDescent="0.2">
      <c r="A32" s="32" t="s">
        <v>133</v>
      </c>
      <c r="B32" s="7">
        <v>499944.92</v>
      </c>
      <c r="C32" s="7">
        <v>9263996.0209999997</v>
      </c>
      <c r="D32" s="7">
        <v>69.284000000000006</v>
      </c>
      <c r="E32" s="27">
        <v>0.99957763702500424</v>
      </c>
      <c r="F32" s="7">
        <v>3345.0648324564086</v>
      </c>
      <c r="G32" s="7">
        <v>8696.5237690197537</v>
      </c>
      <c r="H32" s="27">
        <v>0.9999980756187733</v>
      </c>
      <c r="I32" s="8">
        <v>-6.6585586647580381</v>
      </c>
      <c r="J32" s="8">
        <v>146.99950167088051</v>
      </c>
      <c r="K32" s="7">
        <f>D32+O32</f>
        <v>142.22899999999998</v>
      </c>
      <c r="L32" s="7">
        <v>1.176E-2</v>
      </c>
      <c r="M32" s="7">
        <v>1.372E-2</v>
      </c>
      <c r="N32" s="7">
        <v>6.2719999999999998E-2</v>
      </c>
      <c r="O32" s="9">
        <v>72.944999999999993</v>
      </c>
    </row>
    <row r="33" spans="1:15" x14ac:dyDescent="0.2">
      <c r="A33" s="32" t="s">
        <v>127</v>
      </c>
      <c r="B33" s="7">
        <v>500031.79</v>
      </c>
      <c r="C33" s="7">
        <v>9263964.5869999994</v>
      </c>
      <c r="D33" s="7">
        <v>69.322000000000003</v>
      </c>
      <c r="E33" s="27">
        <v>0.99957763102543706</v>
      </c>
      <c r="F33" s="7">
        <v>3431.9713713909605</v>
      </c>
      <c r="G33" s="7">
        <v>8665.076547368546</v>
      </c>
      <c r="H33" s="27">
        <v>0.99999806961668269</v>
      </c>
      <c r="I33" s="8">
        <v>-6.6588430197880708</v>
      </c>
      <c r="J33" s="8">
        <v>147.00028761604622</v>
      </c>
      <c r="K33" s="7">
        <f>D33+O33</f>
        <v>142.267</v>
      </c>
      <c r="L33" s="7">
        <v>7.8399999999999997E-3</v>
      </c>
      <c r="M33" s="7">
        <v>7.8399999999999997E-3</v>
      </c>
      <c r="N33" s="7">
        <v>2.7439999999999999E-2</v>
      </c>
      <c r="O33" s="9">
        <v>72.944999999999993</v>
      </c>
    </row>
    <row r="34" spans="1:15" x14ac:dyDescent="0.2">
      <c r="A34" s="32" t="s">
        <v>113</v>
      </c>
      <c r="B34" s="7">
        <v>499641.45</v>
      </c>
      <c r="C34" s="7">
        <v>9263814.0690000001</v>
      </c>
      <c r="D34" s="7">
        <v>65.894000000000005</v>
      </c>
      <c r="E34" s="27">
        <v>0.99957817268640936</v>
      </c>
      <c r="F34" s="7">
        <v>3041.4671880439441</v>
      </c>
      <c r="G34" s="7">
        <v>8514.4952370527899</v>
      </c>
      <c r="H34" s="27">
        <v>0.99999861150548663</v>
      </c>
      <c r="I34" s="8">
        <v>-6.660204608884329</v>
      </c>
      <c r="J34" s="8">
        <v>146.99675605481076</v>
      </c>
      <c r="K34" s="7">
        <f>D34+O34</f>
        <v>138.83199999999999</v>
      </c>
      <c r="L34" s="7">
        <v>3.9199999999999999E-3</v>
      </c>
      <c r="M34" s="7">
        <v>1.9599999999999999E-3</v>
      </c>
      <c r="N34" s="7">
        <v>1.176E-2</v>
      </c>
      <c r="O34" s="9">
        <v>72.938000000000002</v>
      </c>
    </row>
    <row r="35" spans="1:15" x14ac:dyDescent="0.2">
      <c r="A35" s="32" t="s">
        <v>126</v>
      </c>
      <c r="B35" s="7">
        <v>499820.19300000003</v>
      </c>
      <c r="C35" s="7">
        <v>9263916.2129999995</v>
      </c>
      <c r="D35" s="7">
        <v>67.697999999999993</v>
      </c>
      <c r="E35" s="27">
        <v>0.99957788722483321</v>
      </c>
      <c r="F35" s="7">
        <v>3220.2853702533716</v>
      </c>
      <c r="G35" s="7">
        <v>8616.6822004782734</v>
      </c>
      <c r="H35" s="27">
        <v>0.99999832592384053</v>
      </c>
      <c r="I35" s="8">
        <v>-6.6592806128521271</v>
      </c>
      <c r="J35" s="8">
        <v>146.99837321723101</v>
      </c>
      <c r="K35" s="7">
        <f>D35+O35</f>
        <v>140.63999999999999</v>
      </c>
      <c r="L35" s="7">
        <v>7.8399999999999997E-3</v>
      </c>
      <c r="M35" s="7">
        <v>7.8399999999999997E-3</v>
      </c>
      <c r="N35" s="7">
        <v>4.1160000000000002E-2</v>
      </c>
      <c r="O35" s="9">
        <v>72.941999999999993</v>
      </c>
    </row>
    <row r="36" spans="1:15" x14ac:dyDescent="0.2">
      <c r="A36" s="32" t="s">
        <v>115</v>
      </c>
      <c r="B36" s="7">
        <v>500003.489</v>
      </c>
      <c r="C36" s="7">
        <v>9263861.8389999997</v>
      </c>
      <c r="D36" s="7">
        <v>68.64</v>
      </c>
      <c r="E36" s="27">
        <v>0.99957773902991565</v>
      </c>
      <c r="F36" s="7">
        <v>3403.6584675308836</v>
      </c>
      <c r="G36" s="7">
        <v>8562.2853298906703</v>
      </c>
      <c r="H36" s="27">
        <v>0.99999817766658983</v>
      </c>
      <c r="I36" s="8">
        <v>-6.6597724877302173</v>
      </c>
      <c r="J36" s="8">
        <v>147.0000315663502</v>
      </c>
      <c r="K36" s="7">
        <f>D36+O36</f>
        <v>141.57999999999998</v>
      </c>
      <c r="L36" s="7">
        <v>3.9199999999999999E-3</v>
      </c>
      <c r="M36" s="7">
        <v>3.9199999999999999E-3</v>
      </c>
      <c r="N36" s="7">
        <v>1.372E-2</v>
      </c>
      <c r="O36" s="9">
        <v>72.94</v>
      </c>
    </row>
    <row r="37" spans="1:15" x14ac:dyDescent="0.2">
      <c r="A37" s="32" t="s">
        <v>105</v>
      </c>
      <c r="B37" s="7">
        <v>499912.84899999999</v>
      </c>
      <c r="C37" s="7">
        <v>9263690.8379999995</v>
      </c>
      <c r="D37" s="7">
        <v>67.194000000000003</v>
      </c>
      <c r="E37" s="27">
        <v>0.999577967421168</v>
      </c>
      <c r="F37" s="7">
        <v>3312.9803428743771</v>
      </c>
      <c r="G37" s="7">
        <v>8391.2124040918425</v>
      </c>
      <c r="H37" s="27">
        <v>0.99999840615390734</v>
      </c>
      <c r="I37" s="8">
        <v>-6.661319377800452</v>
      </c>
      <c r="J37" s="8">
        <v>146.99921150828214</v>
      </c>
      <c r="K37" s="7">
        <f>D37+O37</f>
        <v>140.12799999999999</v>
      </c>
      <c r="L37" s="7">
        <v>3.9199999999999999E-3</v>
      </c>
      <c r="M37" s="7">
        <v>3.9199999999999999E-3</v>
      </c>
      <c r="N37" s="7">
        <v>1.176E-2</v>
      </c>
      <c r="O37" s="9">
        <v>72.933999999999997</v>
      </c>
    </row>
    <row r="38" spans="1:15" x14ac:dyDescent="0.2">
      <c r="A38" s="32" t="s">
        <v>131</v>
      </c>
      <c r="B38" s="7">
        <v>499632.61700000003</v>
      </c>
      <c r="C38" s="7">
        <v>9263537.4199999999</v>
      </c>
      <c r="D38" s="7">
        <v>64.781000000000006</v>
      </c>
      <c r="E38" s="27">
        <v>0.99957834917828781</v>
      </c>
      <c r="F38" s="7">
        <v>3032.6304727419547</v>
      </c>
      <c r="G38" s="7">
        <v>8237.7298739887774</v>
      </c>
      <c r="H38" s="27">
        <v>0.99999878807160036</v>
      </c>
      <c r="I38" s="8">
        <v>-6.6627072004338883</v>
      </c>
      <c r="J38" s="8">
        <v>146.99667612228475</v>
      </c>
      <c r="K38" s="7">
        <f>D38+O38</f>
        <v>137.71</v>
      </c>
      <c r="L38" s="7">
        <v>3.9199999999999999E-3</v>
      </c>
      <c r="M38" s="7">
        <v>3.9199999999999999E-3</v>
      </c>
      <c r="N38" s="7">
        <v>1.372E-2</v>
      </c>
      <c r="O38" s="9">
        <v>72.929000000000002</v>
      </c>
    </row>
    <row r="39" spans="1:15" x14ac:dyDescent="0.2">
      <c r="A39" s="32" t="s">
        <v>104</v>
      </c>
      <c r="B39" s="7">
        <v>499865.891</v>
      </c>
      <c r="C39" s="7">
        <v>9263613.2770000007</v>
      </c>
      <c r="D39" s="7">
        <v>66.367999999999995</v>
      </c>
      <c r="E39" s="27">
        <v>0.99957809789303831</v>
      </c>
      <c r="F39" s="7">
        <v>3266.002591576359</v>
      </c>
      <c r="G39" s="7">
        <v>8313.6187806765083</v>
      </c>
      <c r="H39" s="27">
        <v>0.99999853668065619</v>
      </c>
      <c r="I39" s="8">
        <v>-6.6620210008131275</v>
      </c>
      <c r="J39" s="8">
        <v>146.99878665780057</v>
      </c>
      <c r="K39" s="7">
        <f>D39+O39</f>
        <v>139.29899999999998</v>
      </c>
      <c r="L39" s="7">
        <v>5.8799999999999998E-3</v>
      </c>
      <c r="M39" s="7">
        <v>5.8799999999999998E-3</v>
      </c>
      <c r="N39" s="7">
        <v>2.1559999999999999E-2</v>
      </c>
      <c r="O39" s="9">
        <v>72.930999999999997</v>
      </c>
    </row>
    <row r="40" spans="1:15" x14ac:dyDescent="0.2">
      <c r="A40" s="32" t="s">
        <v>125</v>
      </c>
      <c r="B40" s="7">
        <v>499851.886</v>
      </c>
      <c r="C40" s="7">
        <v>9263479.4710000008</v>
      </c>
      <c r="D40" s="7">
        <v>64.721999999999994</v>
      </c>
      <c r="E40" s="27">
        <v>0.99957835737066314</v>
      </c>
      <c r="F40" s="7">
        <v>3251.9917008453881</v>
      </c>
      <c r="G40" s="7">
        <v>8179.7564996990841</v>
      </c>
      <c r="H40" s="27">
        <v>0.99999879626742161</v>
      </c>
      <c r="I40" s="8">
        <v>-6.6632314217074544</v>
      </c>
      <c r="J40" s="8">
        <v>146.99865994521559</v>
      </c>
      <c r="K40" s="7">
        <f>D40+O40</f>
        <v>137.649</v>
      </c>
      <c r="L40" s="7">
        <v>3.9199999999999999E-3</v>
      </c>
      <c r="M40" s="7">
        <v>3.9199999999999999E-3</v>
      </c>
      <c r="N40" s="7">
        <v>1.9599999999999999E-2</v>
      </c>
      <c r="O40" s="9">
        <v>72.927000000000007</v>
      </c>
    </row>
    <row r="41" spans="1:15" x14ac:dyDescent="0.2">
      <c r="A41" s="32" t="s">
        <v>103</v>
      </c>
      <c r="B41" s="7">
        <v>499661.33</v>
      </c>
      <c r="C41" s="7">
        <v>9263337.4379999992</v>
      </c>
      <c r="D41" s="7">
        <v>62.716999999999999</v>
      </c>
      <c r="E41" s="27">
        <v>0.99957867455005556</v>
      </c>
      <c r="F41" s="7">
        <v>3061.3555498958253</v>
      </c>
      <c r="G41" s="7">
        <v>8037.6637583099073</v>
      </c>
      <c r="H41" s="27">
        <v>0.99999911358022464</v>
      </c>
      <c r="I41" s="8">
        <v>-6.6645162573644745</v>
      </c>
      <c r="J41" s="8">
        <v>146.99693589036255</v>
      </c>
      <c r="K41" s="7">
        <f>D41+O41</f>
        <v>135.63900000000001</v>
      </c>
      <c r="L41" s="7">
        <v>3.9199999999999999E-3</v>
      </c>
      <c r="M41" s="7">
        <v>3.9199999999999999E-3</v>
      </c>
      <c r="N41" s="7">
        <v>1.372E-2</v>
      </c>
      <c r="O41" s="9">
        <v>72.921999999999997</v>
      </c>
    </row>
    <row r="42" spans="1:15" x14ac:dyDescent="0.2">
      <c r="A42" s="32" t="s">
        <v>132</v>
      </c>
      <c r="B42" s="7">
        <v>499888.15899999999</v>
      </c>
      <c r="C42" s="7">
        <v>9263307.6129999999</v>
      </c>
      <c r="D42" s="7">
        <v>64.748999999999995</v>
      </c>
      <c r="E42" s="27">
        <v>0.99957835395305905</v>
      </c>
      <c r="F42" s="7">
        <v>3288.2799578575382</v>
      </c>
      <c r="G42" s="7">
        <v>8007.8262134309625</v>
      </c>
      <c r="H42" s="27">
        <v>0.99999879284837978</v>
      </c>
      <c r="I42" s="8">
        <v>-6.6647860654701425</v>
      </c>
      <c r="J42" s="8">
        <v>146.99898812037256</v>
      </c>
      <c r="K42" s="7">
        <f>D42+O42</f>
        <v>137.67000000000002</v>
      </c>
      <c r="L42" s="7">
        <v>1.9599999999999999E-2</v>
      </c>
      <c r="M42" s="7">
        <v>1.9599999999999999E-2</v>
      </c>
      <c r="N42" s="7">
        <v>6.4680000000000001E-2</v>
      </c>
      <c r="O42" s="9">
        <v>72.921000000000006</v>
      </c>
    </row>
    <row r="43" spans="1:15" x14ac:dyDescent="0.2">
      <c r="A43" s="32" t="s">
        <v>102</v>
      </c>
      <c r="B43" s="7">
        <v>499556.65500000003</v>
      </c>
      <c r="C43" s="7">
        <v>9263220.0629999992</v>
      </c>
      <c r="D43" s="7">
        <v>61.637</v>
      </c>
      <c r="E43" s="27">
        <v>0.99957884600024649</v>
      </c>
      <c r="F43" s="7">
        <v>2956.6365218916017</v>
      </c>
      <c r="G43" s="7">
        <v>7920.2393884777557</v>
      </c>
      <c r="H43" s="27">
        <v>0.99999928510253033</v>
      </c>
      <c r="I43" s="8">
        <v>-6.6655780353774849</v>
      </c>
      <c r="J43" s="8">
        <v>146.99598883689413</v>
      </c>
      <c r="K43" s="7">
        <f>D43+O43</f>
        <v>134.55500000000001</v>
      </c>
      <c r="L43" s="7">
        <v>3.9199999999999999E-3</v>
      </c>
      <c r="M43" s="7">
        <v>3.9199999999999999E-3</v>
      </c>
      <c r="N43" s="7">
        <v>2.3519999999999999E-2</v>
      </c>
      <c r="O43" s="9">
        <v>72.918000000000006</v>
      </c>
    </row>
    <row r="44" spans="1:15" x14ac:dyDescent="0.2">
      <c r="A44" s="32" t="s">
        <v>119</v>
      </c>
      <c r="B44" s="7">
        <v>499783.288</v>
      </c>
      <c r="C44" s="7">
        <v>9263244.2870000005</v>
      </c>
      <c r="D44" s="7">
        <v>62.87</v>
      </c>
      <c r="E44" s="27">
        <v>0.99957865012788016</v>
      </c>
      <c r="F44" s="7">
        <v>3183.3648474112365</v>
      </c>
      <c r="G44" s="7">
        <v>7944.473577487166</v>
      </c>
      <c r="H44" s="27">
        <v>0.99999908914777702</v>
      </c>
      <c r="I44" s="8">
        <v>-6.6653589153014119</v>
      </c>
      <c r="J44" s="8">
        <v>146.99803929943135</v>
      </c>
      <c r="K44" s="7">
        <f>D44+O44</f>
        <v>135.78899999999999</v>
      </c>
      <c r="L44" s="7">
        <v>3.9199999999999999E-3</v>
      </c>
      <c r="M44" s="7">
        <v>3.9199999999999999E-3</v>
      </c>
      <c r="N44" s="7">
        <v>1.372E-2</v>
      </c>
      <c r="O44" s="9">
        <v>72.918999999999997</v>
      </c>
    </row>
    <row r="45" spans="1:15" x14ac:dyDescent="0.2">
      <c r="A45" s="32" t="s">
        <v>101</v>
      </c>
      <c r="B45" s="7">
        <v>499567.44799999997</v>
      </c>
      <c r="C45" s="7">
        <v>9263108.0600000005</v>
      </c>
      <c r="D45" s="7">
        <v>60.97</v>
      </c>
      <c r="E45" s="27">
        <v>0.99957895138467479</v>
      </c>
      <c r="F45" s="7">
        <v>2967.4340616018444</v>
      </c>
      <c r="G45" s="7">
        <v>7808.1892781977076</v>
      </c>
      <c r="H45" s="27">
        <v>0.99999939053128495</v>
      </c>
      <c r="I45" s="8">
        <v>-6.6665912253222448</v>
      </c>
      <c r="J45" s="8">
        <v>146.99608647850772</v>
      </c>
      <c r="K45" s="7">
        <f>D45+O45</f>
        <v>133.88400000000001</v>
      </c>
      <c r="L45" s="7">
        <v>3.9199999999999999E-3</v>
      </c>
      <c r="M45" s="7">
        <v>1.9599999999999999E-3</v>
      </c>
      <c r="N45" s="7">
        <v>1.372E-2</v>
      </c>
      <c r="O45" s="9">
        <v>72.914000000000001</v>
      </c>
    </row>
    <row r="46" spans="1:15" x14ac:dyDescent="0.2">
      <c r="A46" s="32" t="s">
        <v>118</v>
      </c>
      <c r="B46" s="7">
        <v>499809.69699999999</v>
      </c>
      <c r="C46" s="7">
        <v>9263118.0969999991</v>
      </c>
      <c r="D46" s="7">
        <v>62.689</v>
      </c>
      <c r="E46" s="27">
        <v>0.99957867924014043</v>
      </c>
      <c r="F46" s="7">
        <v>3209.784955466585</v>
      </c>
      <c r="G46" s="7">
        <v>7818.2304999217158</v>
      </c>
      <c r="H46" s="27">
        <v>0.99999911827228227</v>
      </c>
      <c r="I46" s="8">
        <v>-6.666500442234442</v>
      </c>
      <c r="J46" s="8">
        <v>146.99827823072371</v>
      </c>
      <c r="K46" s="7">
        <f>D46+O46</f>
        <v>135.60300000000001</v>
      </c>
      <c r="L46" s="7">
        <v>1.9599999999999999E-3</v>
      </c>
      <c r="M46" s="7">
        <v>1.9599999999999999E-3</v>
      </c>
      <c r="N46" s="7">
        <v>9.7999999999999997E-3</v>
      </c>
      <c r="O46" s="9">
        <v>72.914000000000001</v>
      </c>
    </row>
    <row r="47" spans="1:15" x14ac:dyDescent="0.2">
      <c r="A47" s="32" t="s">
        <v>117</v>
      </c>
      <c r="B47" s="7">
        <v>500015.03899999999</v>
      </c>
      <c r="C47" s="7">
        <v>9263008.2919999994</v>
      </c>
      <c r="D47" s="7">
        <v>61.695999999999998</v>
      </c>
      <c r="E47" s="27">
        <v>0.99957883508116541</v>
      </c>
      <c r="F47" s="7">
        <v>3415.2133256483962</v>
      </c>
      <c r="G47" s="7">
        <v>7708.3793141548522</v>
      </c>
      <c r="H47" s="27">
        <v>0.99999927417885648</v>
      </c>
      <c r="I47" s="8">
        <v>-6.6674937510405075</v>
      </c>
      <c r="J47" s="8">
        <v>147.00013606585432</v>
      </c>
      <c r="K47" s="7">
        <f>D47+O47</f>
        <v>134.60899999999998</v>
      </c>
      <c r="L47" s="7">
        <v>3.9199999999999999E-3</v>
      </c>
      <c r="M47" s="7">
        <v>3.9199999999999999E-3</v>
      </c>
      <c r="N47" s="7">
        <v>2.1559999999999999E-2</v>
      </c>
      <c r="O47" s="9">
        <v>72.912999999999997</v>
      </c>
    </row>
    <row r="48" spans="1:15" x14ac:dyDescent="0.2">
      <c r="A48" s="32" t="s">
        <v>124</v>
      </c>
      <c r="B48" s="7">
        <v>499413.98200000002</v>
      </c>
      <c r="C48" s="7">
        <v>9262981.9149999991</v>
      </c>
      <c r="D48" s="7">
        <v>59.756</v>
      </c>
      <c r="E48" s="27">
        <v>0.99957914419631244</v>
      </c>
      <c r="F48" s="7">
        <v>2813.9035113076798</v>
      </c>
      <c r="G48" s="7">
        <v>7681.9912195600336</v>
      </c>
      <c r="H48" s="27">
        <v>0.9999995834240224</v>
      </c>
      <c r="I48" s="8">
        <v>-6.6677323312678398</v>
      </c>
      <c r="J48" s="8">
        <v>146.99469798003423</v>
      </c>
      <c r="K48" s="7">
        <f>D48+O48</f>
        <v>132.67000000000002</v>
      </c>
      <c r="L48" s="7">
        <v>1.9599999999999999E-3</v>
      </c>
      <c r="M48" s="7">
        <v>1.9599999999999999E-3</v>
      </c>
      <c r="N48" s="7">
        <v>9.7999999999999997E-3</v>
      </c>
      <c r="O48" s="9">
        <v>72.914000000000001</v>
      </c>
    </row>
    <row r="49" spans="1:15" x14ac:dyDescent="0.2">
      <c r="A49" s="32" t="s">
        <v>108</v>
      </c>
      <c r="B49" s="7">
        <v>499537.83600000001</v>
      </c>
      <c r="C49" s="7">
        <v>9263018.5170000009</v>
      </c>
      <c r="D49" s="7">
        <v>60.142000000000003</v>
      </c>
      <c r="E49" s="27">
        <v>0.99957908189890687</v>
      </c>
      <c r="F49" s="7">
        <v>2937.8096063121802</v>
      </c>
      <c r="G49" s="7">
        <v>7718.6086149576586</v>
      </c>
      <c r="H49" s="27">
        <v>0.99999952110041357</v>
      </c>
      <c r="I49" s="8">
        <v>-6.6674012370864357</v>
      </c>
      <c r="J49" s="8">
        <v>146.9958185565761</v>
      </c>
      <c r="K49" s="7">
        <f>D49+O49</f>
        <v>133.05600000000001</v>
      </c>
      <c r="L49" s="7">
        <v>5.8799999999999998E-3</v>
      </c>
      <c r="M49" s="7">
        <v>3.9199999999999999E-3</v>
      </c>
      <c r="N49" s="7">
        <v>2.1559999999999999E-2</v>
      </c>
      <c r="O49" s="9">
        <v>72.914000000000001</v>
      </c>
    </row>
    <row r="50" spans="1:15" x14ac:dyDescent="0.2">
      <c r="A50" s="32" t="s">
        <v>123</v>
      </c>
      <c r="B50" s="7">
        <v>499842.08199999999</v>
      </c>
      <c r="C50" s="7">
        <v>9262955.7180000003</v>
      </c>
      <c r="D50" s="7">
        <v>60.847000000000001</v>
      </c>
      <c r="E50" s="27">
        <v>0.99957896887493358</v>
      </c>
      <c r="F50" s="7">
        <v>3242.1835771273263</v>
      </c>
      <c r="G50" s="7">
        <v>7655.7832006773679</v>
      </c>
      <c r="H50" s="27">
        <v>0.99999940802890042</v>
      </c>
      <c r="I50" s="8">
        <v>-6.6679693380693088</v>
      </c>
      <c r="J50" s="8">
        <v>146.99857123024847</v>
      </c>
      <c r="K50" s="7">
        <f>D50+O50</f>
        <v>133.76</v>
      </c>
      <c r="L50" s="7">
        <v>3.9199999999999999E-3</v>
      </c>
      <c r="M50" s="7">
        <v>1.9599999999999999E-3</v>
      </c>
      <c r="N50" s="7">
        <v>1.5679999999999999E-2</v>
      </c>
      <c r="O50" s="9">
        <v>72.912999999999997</v>
      </c>
    </row>
    <row r="51" spans="1:15" x14ac:dyDescent="0.2">
      <c r="A51" s="32" t="s">
        <v>116</v>
      </c>
      <c r="B51" s="7">
        <v>499990.86900000001</v>
      </c>
      <c r="C51" s="7">
        <v>9262882.9839999992</v>
      </c>
      <c r="D51" s="7">
        <v>60.918999999999997</v>
      </c>
      <c r="E51" s="27">
        <v>0.99957895724719126</v>
      </c>
      <c r="F51" s="7">
        <v>3391.0331593567953</v>
      </c>
      <c r="G51" s="7">
        <v>7583.0186075743986</v>
      </c>
      <c r="H51" s="27">
        <v>0.99999939639626745</v>
      </c>
      <c r="I51" s="8">
        <v>-6.6686272983461636</v>
      </c>
      <c r="J51" s="8">
        <v>146.99991738678301</v>
      </c>
      <c r="K51" s="7">
        <f>D51+O51</f>
        <v>133.83199999999999</v>
      </c>
      <c r="L51" s="7">
        <v>3.9199999999999999E-3</v>
      </c>
      <c r="M51" s="7">
        <v>3.9199999999999999E-3</v>
      </c>
      <c r="N51" s="7">
        <v>1.7639999999999999E-2</v>
      </c>
      <c r="O51" s="9">
        <v>72.912999999999997</v>
      </c>
    </row>
    <row r="52" spans="1:15" x14ac:dyDescent="0.2">
      <c r="A52" s="32" t="s">
        <v>97</v>
      </c>
      <c r="B52" s="7">
        <v>499738.89399999997</v>
      </c>
      <c r="C52" s="7">
        <v>9262902.4069999997</v>
      </c>
      <c r="D52" s="7">
        <v>60.475999999999999</v>
      </c>
      <c r="E52" s="27">
        <v>0.99957902774240293</v>
      </c>
      <c r="F52" s="7">
        <v>3138.9521745750726</v>
      </c>
      <c r="G52" s="7">
        <v>7602.4497772039613</v>
      </c>
      <c r="H52" s="27">
        <v>0.99999946692113051</v>
      </c>
      <c r="I52" s="8">
        <v>-6.6684515905194512</v>
      </c>
      <c r="J52" s="8">
        <v>146.99763763016657</v>
      </c>
      <c r="K52" s="7">
        <f>D52+O52</f>
        <v>133.38900000000001</v>
      </c>
      <c r="L52" s="7">
        <v>3.9199999999999999E-3</v>
      </c>
      <c r="M52" s="7">
        <v>3.9199999999999999E-3</v>
      </c>
      <c r="N52" s="7">
        <v>1.9599999999999999E-2</v>
      </c>
      <c r="O52" s="9">
        <v>72.912999999999997</v>
      </c>
    </row>
    <row r="53" spans="1:15" x14ac:dyDescent="0.2">
      <c r="A53" s="32" t="s">
        <v>111</v>
      </c>
      <c r="B53" s="7">
        <v>499138.54800000001</v>
      </c>
      <c r="C53" s="7">
        <v>9262900.6060000006</v>
      </c>
      <c r="D53" s="7">
        <v>57.527999999999999</v>
      </c>
      <c r="E53" s="27">
        <v>0.99957949928077405</v>
      </c>
      <c r="F53" s="7">
        <v>2538.3536592934852</v>
      </c>
      <c r="G53" s="7">
        <v>7600.6480196751654</v>
      </c>
      <c r="H53" s="27">
        <v>0.99999993865783809</v>
      </c>
      <c r="I53" s="8">
        <v>-6.6684678266301729</v>
      </c>
      <c r="J53" s="8">
        <v>146.9922059689201</v>
      </c>
      <c r="K53" s="7">
        <f>D53+O53</f>
        <v>130.44300000000001</v>
      </c>
      <c r="L53" s="7">
        <v>1.9599999999999999E-3</v>
      </c>
      <c r="M53" s="7">
        <v>1.9599999999999999E-3</v>
      </c>
      <c r="N53" s="7">
        <v>9.7999999999999997E-3</v>
      </c>
      <c r="O53" s="9">
        <v>72.915000000000006</v>
      </c>
    </row>
    <row r="54" spans="1:15" x14ac:dyDescent="0.2">
      <c r="A54" s="32" t="s">
        <v>96</v>
      </c>
      <c r="B54" s="7">
        <v>499616.06800000003</v>
      </c>
      <c r="C54" s="7">
        <v>9262744.9210000001</v>
      </c>
      <c r="D54" s="7">
        <v>58.773000000000003</v>
      </c>
      <c r="E54" s="27">
        <v>0.99957929648532751</v>
      </c>
      <c r="F54" s="7">
        <v>3016.0745119632497</v>
      </c>
      <c r="G54" s="7">
        <v>7444.8975360342301</v>
      </c>
      <c r="H54" s="27">
        <v>0.99999973577709267</v>
      </c>
      <c r="I54" s="8">
        <v>-6.6698762162210086</v>
      </c>
      <c r="J54" s="8">
        <v>146.99652634564467</v>
      </c>
      <c r="K54" s="7">
        <f>D54+O54</f>
        <v>131.68600000000001</v>
      </c>
      <c r="L54" s="7">
        <v>1.9599999999999999E-3</v>
      </c>
      <c r="M54" s="7">
        <v>1.9599999999999999E-3</v>
      </c>
      <c r="N54" s="7">
        <v>9.7999999999999997E-3</v>
      </c>
      <c r="O54" s="9">
        <v>72.912999999999997</v>
      </c>
    </row>
    <row r="55" spans="1:15" x14ac:dyDescent="0.2">
      <c r="A55" s="32" t="s">
        <v>95</v>
      </c>
      <c r="B55" s="7">
        <v>499693.83399999997</v>
      </c>
      <c r="C55" s="7">
        <v>9262615.8589999992</v>
      </c>
      <c r="D55" s="7">
        <v>57.920999999999999</v>
      </c>
      <c r="E55" s="27">
        <v>0.99957942978125647</v>
      </c>
      <c r="F55" s="7">
        <v>3093.8732216066078</v>
      </c>
      <c r="G55" s="7">
        <v>7315.781250459142</v>
      </c>
      <c r="H55" s="27">
        <v>0.99999986912908811</v>
      </c>
      <c r="I55" s="8">
        <v>-6.6710437268694864</v>
      </c>
      <c r="J55" s="8">
        <v>146.9972299329639</v>
      </c>
      <c r="K55" s="7">
        <f>D55+O55</f>
        <v>130.834</v>
      </c>
      <c r="L55" s="7">
        <v>1.9599999999999999E-3</v>
      </c>
      <c r="M55" s="7">
        <v>1.9599999999999999E-3</v>
      </c>
      <c r="N55" s="7">
        <v>7.8399999999999997E-3</v>
      </c>
      <c r="O55" s="9">
        <v>72.912999999999997</v>
      </c>
    </row>
    <row r="56" spans="1:15" x14ac:dyDescent="0.2">
      <c r="A56" s="32" t="s">
        <v>107</v>
      </c>
      <c r="B56" s="7">
        <v>500022.89</v>
      </c>
      <c r="C56" s="7">
        <v>9262625.5319999997</v>
      </c>
      <c r="D56" s="7">
        <v>58.606000000000002</v>
      </c>
      <c r="E56" s="27">
        <v>0.99957932108266101</v>
      </c>
      <c r="F56" s="7">
        <v>3423.0676279096269</v>
      </c>
      <c r="G56" s="7">
        <v>7325.4583190805279</v>
      </c>
      <c r="H56" s="27">
        <v>0.99999976038477234</v>
      </c>
      <c r="I56" s="8">
        <v>-6.6709562317971542</v>
      </c>
      <c r="J56" s="8">
        <v>147.00020709949254</v>
      </c>
      <c r="K56" s="7">
        <f>D56+O56</f>
        <v>131.518</v>
      </c>
      <c r="L56" s="7">
        <v>1.9599999999999999E-3</v>
      </c>
      <c r="M56" s="7">
        <v>1.9599999999999999E-3</v>
      </c>
      <c r="N56" s="7">
        <v>5.8799999999999998E-3</v>
      </c>
      <c r="O56" s="9">
        <v>72.912000000000006</v>
      </c>
    </row>
    <row r="57" spans="1:15" x14ac:dyDescent="0.2">
      <c r="A57" s="32" t="s">
        <v>122</v>
      </c>
      <c r="B57" s="7">
        <v>499140.54200000002</v>
      </c>
      <c r="C57" s="7">
        <v>9262768.0050000008</v>
      </c>
      <c r="D57" s="7">
        <v>57.11</v>
      </c>
      <c r="E57" s="27">
        <v>0.9995795648036564</v>
      </c>
      <c r="F57" s="7">
        <v>2540.3484980055318</v>
      </c>
      <c r="G57" s="7">
        <v>7467.991245540441</v>
      </c>
      <c r="H57" s="27">
        <v>1.0000000042082806</v>
      </c>
      <c r="I57" s="8">
        <v>-6.669667347274161</v>
      </c>
      <c r="J57" s="8">
        <v>146.99222399082791</v>
      </c>
      <c r="K57" s="7">
        <f>D57+O57</f>
        <v>130.02600000000001</v>
      </c>
      <c r="L57" s="7">
        <v>1.9599999999999999E-3</v>
      </c>
      <c r="M57" s="7">
        <v>1.9599999999999999E-3</v>
      </c>
      <c r="N57" s="7">
        <v>9.7999999999999997E-3</v>
      </c>
      <c r="O57" s="9">
        <v>72.915999999999997</v>
      </c>
    </row>
    <row r="58" spans="1:15" x14ac:dyDescent="0.2">
      <c r="A58" s="32" t="s">
        <v>128</v>
      </c>
      <c r="B58" s="7">
        <v>499344.95400000003</v>
      </c>
      <c r="C58" s="7">
        <v>9262691.5840000007</v>
      </c>
      <c r="D58" s="7">
        <v>57.713999999999999</v>
      </c>
      <c r="E58" s="27">
        <v>0.99957946616322679</v>
      </c>
      <c r="F58" s="7">
        <v>2744.8464770102619</v>
      </c>
      <c r="G58" s="7">
        <v>7391.538101625978</v>
      </c>
      <c r="H58" s="27">
        <v>0.9999999055263612</v>
      </c>
      <c r="I58" s="8">
        <v>-6.6703586840484306</v>
      </c>
      <c r="J58" s="8">
        <v>146.9940734150471</v>
      </c>
      <c r="K58" s="7">
        <f>D58+O58</f>
        <v>130.62900000000002</v>
      </c>
      <c r="L58" s="7">
        <v>1.9599999999999999E-3</v>
      </c>
      <c r="M58" s="7">
        <v>1.9599999999999999E-3</v>
      </c>
      <c r="N58" s="7">
        <v>7.8399999999999997E-3</v>
      </c>
      <c r="O58" s="9">
        <v>72.915000000000006</v>
      </c>
    </row>
    <row r="59" spans="1:15" x14ac:dyDescent="0.2">
      <c r="A59" s="32" t="s">
        <v>110</v>
      </c>
      <c r="B59" s="7">
        <v>499098.516</v>
      </c>
      <c r="C59" s="7">
        <v>9262505.0629999992</v>
      </c>
      <c r="D59" s="7">
        <v>55.216000000000001</v>
      </c>
      <c r="E59" s="27">
        <v>0.99957986351357175</v>
      </c>
      <c r="F59" s="7">
        <v>2498.3048211828077</v>
      </c>
      <c r="G59" s="7">
        <v>7204.9386478615925</v>
      </c>
      <c r="H59" s="27">
        <v>1.000000303043838</v>
      </c>
      <c r="I59" s="8">
        <v>-6.6720459375199122</v>
      </c>
      <c r="J59" s="8">
        <v>146.99184371817847</v>
      </c>
      <c r="K59" s="7">
        <f>D59+O59</f>
        <v>128.13200000000001</v>
      </c>
      <c r="L59" s="7">
        <v>1.9599999999999999E-3</v>
      </c>
      <c r="M59" s="7">
        <v>1.9599999999999999E-3</v>
      </c>
      <c r="N59" s="7">
        <v>7.8399999999999997E-3</v>
      </c>
      <c r="O59" s="9">
        <v>72.915999999999997</v>
      </c>
    </row>
    <row r="60" spans="1:15" x14ac:dyDescent="0.2">
      <c r="A60" s="32" t="s">
        <v>100</v>
      </c>
      <c r="B60" s="7">
        <v>499334.60499999998</v>
      </c>
      <c r="C60" s="7">
        <v>9262469.6239999998</v>
      </c>
      <c r="D60" s="7">
        <v>55.902000000000001</v>
      </c>
      <c r="E60" s="27">
        <v>0.99957975123328324</v>
      </c>
      <c r="F60" s="7">
        <v>2734.4931240521787</v>
      </c>
      <c r="G60" s="7">
        <v>7169.4847416431876</v>
      </c>
      <c r="H60" s="27">
        <v>1.0000001907163227</v>
      </c>
      <c r="I60" s="8">
        <v>-6.6723665525027753</v>
      </c>
      <c r="J60" s="8">
        <v>146.99397975706728</v>
      </c>
      <c r="K60" s="7">
        <f>D60+O60</f>
        <v>128.81700000000001</v>
      </c>
      <c r="L60" s="7">
        <v>3.9199999999999999E-3</v>
      </c>
      <c r="M60" s="7">
        <v>3.9199999999999999E-3</v>
      </c>
      <c r="N60" s="7">
        <v>1.7639999999999999E-2</v>
      </c>
      <c r="O60" s="9">
        <v>72.915000000000006</v>
      </c>
    </row>
    <row r="61" spans="1:15" x14ac:dyDescent="0.2">
      <c r="A61" s="32" t="s">
        <v>99</v>
      </c>
      <c r="B61" s="7">
        <v>499518.3</v>
      </c>
      <c r="C61" s="7">
        <v>9262401.1309999991</v>
      </c>
      <c r="D61" s="7">
        <v>55.947000000000003</v>
      </c>
      <c r="E61" s="27">
        <v>0.99957974170767261</v>
      </c>
      <c r="F61" s="7">
        <v>2918.2653891539594</v>
      </c>
      <c r="G61" s="7">
        <v>7100.9629323739791</v>
      </c>
      <c r="H61" s="27">
        <v>1.0000001811867059</v>
      </c>
      <c r="I61" s="8">
        <v>-6.672986163631621</v>
      </c>
      <c r="J61" s="8">
        <v>146.99564175464522</v>
      </c>
      <c r="K61" s="7">
        <f>D61+O61</f>
        <v>128.86099999999999</v>
      </c>
      <c r="L61" s="7">
        <v>3.9199999999999999E-3</v>
      </c>
      <c r="M61" s="7">
        <v>1.9599999999999999E-3</v>
      </c>
      <c r="N61" s="7">
        <v>1.176E-2</v>
      </c>
      <c r="O61" s="9">
        <v>72.914000000000001</v>
      </c>
    </row>
    <row r="62" spans="1:15" x14ac:dyDescent="0.2">
      <c r="A62" s="32" t="s">
        <v>120</v>
      </c>
      <c r="B62" s="7">
        <v>499808.09700000001</v>
      </c>
      <c r="C62" s="7">
        <v>9262439.8640000001</v>
      </c>
      <c r="D62" s="7">
        <v>56.624000000000002</v>
      </c>
      <c r="E62" s="27">
        <v>0.99957963300440833</v>
      </c>
      <c r="F62" s="7">
        <v>3208.1842824827095</v>
      </c>
      <c r="G62" s="7">
        <v>7139.7122241038596</v>
      </c>
      <c r="H62" s="27">
        <v>1.0000000724377189</v>
      </c>
      <c r="I62" s="8">
        <v>-6.6726357977436193</v>
      </c>
      <c r="J62" s="8">
        <v>146.99826373310236</v>
      </c>
      <c r="K62" s="7">
        <f>D62+O62</f>
        <v>129.53700000000001</v>
      </c>
      <c r="L62" s="7">
        <v>1.9599999999999999E-3</v>
      </c>
      <c r="M62" s="7">
        <v>1.9599999999999999E-3</v>
      </c>
      <c r="N62" s="7">
        <v>1.176E-2</v>
      </c>
      <c r="O62" s="9">
        <v>72.912999999999997</v>
      </c>
    </row>
    <row r="63" spans="1:15" x14ac:dyDescent="0.2">
      <c r="A63" s="32" t="s">
        <v>93</v>
      </c>
      <c r="B63" s="7">
        <v>499041.42099999997</v>
      </c>
      <c r="C63" s="7">
        <v>9262355.7379999999</v>
      </c>
      <c r="D63" s="7">
        <v>53.652000000000001</v>
      </c>
      <c r="E63" s="27">
        <v>0.99958011057851559</v>
      </c>
      <c r="F63" s="7">
        <v>2441.1858061000216</v>
      </c>
      <c r="G63" s="7">
        <v>7055.5508393412456</v>
      </c>
      <c r="H63" s="27">
        <v>1.0000005502127014</v>
      </c>
      <c r="I63" s="8">
        <v>-6.6733967356449595</v>
      </c>
      <c r="J63" s="8">
        <v>146.99132712073555</v>
      </c>
      <c r="K63" s="7">
        <f>D63+O63</f>
        <v>126.569</v>
      </c>
      <c r="L63" s="7">
        <v>1.9599999999999999E-3</v>
      </c>
      <c r="M63" s="7">
        <v>1.9599999999999999E-3</v>
      </c>
      <c r="N63" s="7">
        <v>7.8399999999999997E-3</v>
      </c>
      <c r="O63" s="9">
        <v>72.917000000000002</v>
      </c>
    </row>
    <row r="64" spans="1:15" x14ac:dyDescent="0.2">
      <c r="A64" s="32" t="s">
        <v>98</v>
      </c>
      <c r="B64" s="7">
        <v>499589.93300000002</v>
      </c>
      <c r="C64" s="7">
        <v>9262267.7039999999</v>
      </c>
      <c r="D64" s="7">
        <v>54.521999999999998</v>
      </c>
      <c r="E64" s="27">
        <v>0.99957996496985513</v>
      </c>
      <c r="F64" s="7">
        <v>2989.9285191570984</v>
      </c>
      <c r="G64" s="7">
        <v>6967.4798108106479</v>
      </c>
      <c r="H64" s="27">
        <v>1.0000004045427959</v>
      </c>
      <c r="I64" s="8">
        <v>-6.6741931611496259</v>
      </c>
      <c r="J64" s="8">
        <v>146.9962898547345</v>
      </c>
      <c r="K64" s="7">
        <f>D64+O64</f>
        <v>127.43600000000001</v>
      </c>
      <c r="L64" s="7">
        <v>3.9199999999999999E-3</v>
      </c>
      <c r="M64" s="7">
        <v>3.9199999999999999E-3</v>
      </c>
      <c r="N64" s="7">
        <v>1.372E-2</v>
      </c>
      <c r="O64" s="9">
        <v>72.914000000000001</v>
      </c>
    </row>
    <row r="65" spans="1:18" x14ac:dyDescent="0.2">
      <c r="A65" s="32" t="s">
        <v>121</v>
      </c>
      <c r="B65" s="7">
        <v>499828.07400000002</v>
      </c>
      <c r="C65" s="7">
        <v>9262286.216</v>
      </c>
      <c r="D65" s="7">
        <v>55.414999999999999</v>
      </c>
      <c r="E65" s="27">
        <v>0.99957982316293059</v>
      </c>
      <c r="F65" s="7">
        <v>3228.1696851319643</v>
      </c>
      <c r="G65" s="7">
        <v>6985.999597258633</v>
      </c>
      <c r="H65" s="27">
        <v>1.0000002626762252</v>
      </c>
      <c r="I65" s="8">
        <v>-6.6740257115001</v>
      </c>
      <c r="J65" s="8">
        <v>146.99844447317494</v>
      </c>
      <c r="K65" s="7">
        <f>D65+O65</f>
        <v>128.327</v>
      </c>
      <c r="L65" s="7">
        <v>5.8799999999999998E-3</v>
      </c>
      <c r="M65" s="7">
        <v>5.8799999999999998E-3</v>
      </c>
      <c r="N65" s="7">
        <v>2.3519999999999999E-2</v>
      </c>
      <c r="O65" s="9">
        <v>72.912000000000006</v>
      </c>
    </row>
    <row r="66" spans="1:18" x14ac:dyDescent="0.2">
      <c r="A66" s="32" t="s">
        <v>109</v>
      </c>
      <c r="B66" s="7">
        <v>499040.75599999999</v>
      </c>
      <c r="C66" s="7">
        <v>9262142.6940000001</v>
      </c>
      <c r="D66" s="7">
        <v>52.718000000000004</v>
      </c>
      <c r="E66" s="27">
        <v>0.99958025744782586</v>
      </c>
      <c r="F66" s="7">
        <v>2440.5205263910543</v>
      </c>
      <c r="G66" s="7">
        <v>6842.4172295738244</v>
      </c>
      <c r="H66" s="27">
        <v>1.0000006971437874</v>
      </c>
      <c r="I66" s="8">
        <v>-6.6753239499654589</v>
      </c>
      <c r="J66" s="8">
        <v>146.99132107011854</v>
      </c>
      <c r="K66" s="7">
        <f>D66+O66</f>
        <v>125.63500000000001</v>
      </c>
      <c r="L66" s="7">
        <v>1.9599999999999999E-3</v>
      </c>
      <c r="M66" s="7">
        <v>1.9599999999999999E-3</v>
      </c>
      <c r="N66" s="7">
        <v>5.8799999999999998E-3</v>
      </c>
      <c r="O66" s="9">
        <v>72.917000000000002</v>
      </c>
    </row>
    <row r="67" spans="1:18" x14ac:dyDescent="0.2">
      <c r="A67" s="32" t="s">
        <v>94</v>
      </c>
      <c r="B67" s="7">
        <v>499326.51699999999</v>
      </c>
      <c r="C67" s="7">
        <v>9262085.8819999993</v>
      </c>
      <c r="D67" s="7">
        <v>52.322000000000003</v>
      </c>
      <c r="E67" s="27">
        <v>0.99958031409393955</v>
      </c>
      <c r="F67" s="7">
        <v>2726.4017221076447</v>
      </c>
      <c r="G67" s="7">
        <v>6785.5813335230341</v>
      </c>
      <c r="H67" s="27">
        <v>1.0000007538137274</v>
      </c>
      <c r="I67" s="8">
        <v>-6.6758379149396267</v>
      </c>
      <c r="J67" s="8">
        <v>146.99390653698043</v>
      </c>
      <c r="K67" s="7">
        <f>D67+O67</f>
        <v>125.238</v>
      </c>
      <c r="L67" s="7">
        <v>3.9199999999999999E-3</v>
      </c>
      <c r="M67" s="7">
        <v>1.9599999999999999E-3</v>
      </c>
      <c r="N67" s="7">
        <v>9.7999999999999997E-3</v>
      </c>
      <c r="O67" s="9">
        <v>72.915999999999997</v>
      </c>
    </row>
    <row r="68" spans="1:18" x14ac:dyDescent="0.2">
      <c r="A68" s="32" t="s">
        <v>129</v>
      </c>
      <c r="B68" s="7">
        <v>499049.39899999998</v>
      </c>
      <c r="C68" s="7">
        <v>9261925.7949999999</v>
      </c>
      <c r="D68" s="7">
        <v>51.719000000000001</v>
      </c>
      <c r="E68" s="27">
        <v>0.99958041415980958</v>
      </c>
      <c r="F68" s="7">
        <v>2449.1671617765119</v>
      </c>
      <c r="G68" s="7">
        <v>6625.4269983303966</v>
      </c>
      <c r="H68" s="27">
        <v>1.0000008539216865</v>
      </c>
      <c r="I68" s="8">
        <v>-6.6772860382712702</v>
      </c>
      <c r="J68" s="8">
        <v>146.99139923494198</v>
      </c>
      <c r="K68" s="7">
        <f>D68+O68</f>
        <v>124.637</v>
      </c>
      <c r="L68" s="7">
        <v>5.8799999999999998E-3</v>
      </c>
      <c r="M68" s="7">
        <v>3.9199999999999999E-3</v>
      </c>
      <c r="N68" s="7">
        <v>1.176E-2</v>
      </c>
      <c r="O68" s="9">
        <v>72.918000000000006</v>
      </c>
    </row>
    <row r="69" spans="1:18" x14ac:dyDescent="0.2">
      <c r="A69" s="32" t="s">
        <v>106</v>
      </c>
      <c r="B69" s="7">
        <v>498837.60399999999</v>
      </c>
      <c r="C69" s="7">
        <v>9261695.1089999992</v>
      </c>
      <c r="D69" s="7">
        <v>47.749000000000002</v>
      </c>
      <c r="E69" s="27">
        <v>0.99958104358738176</v>
      </c>
      <c r="F69" s="7">
        <v>2237.2830773567621</v>
      </c>
      <c r="G69" s="7">
        <v>6394.6439680504845</v>
      </c>
      <c r="H69" s="27">
        <v>1.0000014836140063</v>
      </c>
      <c r="I69" s="8">
        <v>-6.6793728062401474</v>
      </c>
      <c r="J69" s="8">
        <v>146.98948293002513</v>
      </c>
      <c r="K69" s="7">
        <f>D69+O69</f>
        <v>120.66900000000001</v>
      </c>
      <c r="L69" s="7">
        <v>1.9599999999999999E-3</v>
      </c>
      <c r="M69" s="7">
        <v>1.9599999999999999E-3</v>
      </c>
      <c r="N69" s="7">
        <v>9.7999999999999997E-3</v>
      </c>
      <c r="O69" s="9">
        <v>72.92</v>
      </c>
    </row>
    <row r="70" spans="1:18" x14ac:dyDescent="0.2">
      <c r="A70" s="30" t="s">
        <v>82</v>
      </c>
      <c r="B70" s="7">
        <v>499562.28399999999</v>
      </c>
      <c r="C70" s="7">
        <v>9263112.0319999997</v>
      </c>
      <c r="D70" s="7">
        <v>60.850999999999999</v>
      </c>
      <c r="E70" s="27">
        <v>0.99957897015056063</v>
      </c>
      <c r="F70" s="7">
        <v>2962.2678895388012</v>
      </c>
      <c r="G70" s="7">
        <v>7812.162948884652</v>
      </c>
      <c r="H70" s="27">
        <v>0.99999940930506415</v>
      </c>
      <c r="I70" s="8">
        <v>-6.6665552938828831</v>
      </c>
      <c r="J70" s="8">
        <v>146.99603975741934</v>
      </c>
      <c r="K70" s="7">
        <v>133.76499999999999</v>
      </c>
      <c r="L70" s="7">
        <v>2E-3</v>
      </c>
      <c r="M70" s="7">
        <v>2E-3</v>
      </c>
      <c r="N70" s="7">
        <v>6.0000000000000001E-3</v>
      </c>
      <c r="O70" s="9">
        <v>72.914000000000001</v>
      </c>
      <c r="P70" s="6"/>
    </row>
    <row r="71" spans="1:18" x14ac:dyDescent="0.2">
      <c r="A71" s="30" t="s">
        <v>78</v>
      </c>
      <c r="B71" s="7">
        <v>499813.158</v>
      </c>
      <c r="C71" s="7">
        <v>9263071.1500000004</v>
      </c>
      <c r="D71" s="7">
        <v>62.231000000000002</v>
      </c>
      <c r="E71" s="27">
        <v>0.99957875139244423</v>
      </c>
      <c r="F71" s="7">
        <v>3213.2474112194395</v>
      </c>
      <c r="G71" s="7">
        <v>7771.2637532518711</v>
      </c>
      <c r="H71" s="27">
        <v>0.99999919045493457</v>
      </c>
      <c r="I71" s="8">
        <v>-6.6669251290959304</v>
      </c>
      <c r="J71" s="8">
        <v>146.99830954271877</v>
      </c>
      <c r="K71" s="7">
        <v>135.14400000000001</v>
      </c>
      <c r="L71" s="7">
        <v>3.0000000000000001E-3</v>
      </c>
      <c r="M71" s="7">
        <v>2E-3</v>
      </c>
      <c r="N71" s="7">
        <v>0.01</v>
      </c>
      <c r="O71" s="9">
        <v>72.912999999999997</v>
      </c>
      <c r="P71" s="6"/>
    </row>
    <row r="72" spans="1:18" x14ac:dyDescent="0.2">
      <c r="A72" s="30" t="s">
        <v>79</v>
      </c>
      <c r="B72" s="7">
        <v>500040.38299999997</v>
      </c>
      <c r="C72" s="7">
        <v>9262997.8609999996</v>
      </c>
      <c r="D72" s="7">
        <v>62.22</v>
      </c>
      <c r="E72" s="27">
        <v>0.99957875271047769</v>
      </c>
      <c r="F72" s="7">
        <v>3440.5679857465529</v>
      </c>
      <c r="G72" s="7">
        <v>7697.9439267069101</v>
      </c>
      <c r="H72" s="27">
        <v>0.99999919177352237</v>
      </c>
      <c r="I72" s="8">
        <v>-6.6675881106781505</v>
      </c>
      <c r="J72" s="8">
        <v>147.00036536660988</v>
      </c>
      <c r="K72" s="7">
        <v>135.13299999999998</v>
      </c>
      <c r="L72" s="7">
        <v>1E-3</v>
      </c>
      <c r="M72" s="7">
        <v>1E-3</v>
      </c>
      <c r="N72" s="7">
        <v>4.0000000000000001E-3</v>
      </c>
      <c r="O72" s="9">
        <v>72.912999999999997</v>
      </c>
      <c r="P72" s="52"/>
      <c r="Q72" s="53"/>
      <c r="R72" s="53"/>
    </row>
    <row r="73" spans="1:18" x14ac:dyDescent="0.2">
      <c r="A73" s="30" t="s">
        <v>83</v>
      </c>
      <c r="B73" s="7">
        <v>499827.61</v>
      </c>
      <c r="C73" s="7">
        <v>9263113.7219999991</v>
      </c>
      <c r="D73" s="7">
        <v>62.604999999999997</v>
      </c>
      <c r="E73" s="27">
        <v>0.99957869236701047</v>
      </c>
      <c r="F73" s="7">
        <v>3227.7054899667833</v>
      </c>
      <c r="G73" s="7">
        <v>7813.853659725748</v>
      </c>
      <c r="H73" s="27">
        <v>0.99999913140467378</v>
      </c>
      <c r="I73" s="8">
        <v>-6.666540019414029</v>
      </c>
      <c r="J73" s="8">
        <v>146.99844029873753</v>
      </c>
      <c r="K73" s="7">
        <v>135.51900000000001</v>
      </c>
      <c r="L73" s="7">
        <v>1E-3</v>
      </c>
      <c r="M73" s="7">
        <v>1E-3</v>
      </c>
      <c r="N73" s="7">
        <v>4.0000000000000001E-3</v>
      </c>
      <c r="O73" s="9">
        <v>72.914000000000001</v>
      </c>
      <c r="P73" s="6"/>
    </row>
    <row r="74" spans="1:18" x14ac:dyDescent="0.2">
      <c r="A74" s="30" t="s">
        <v>90</v>
      </c>
      <c r="B74" s="7">
        <v>499675.47600000002</v>
      </c>
      <c r="C74" s="7">
        <v>9263166.1809999999</v>
      </c>
      <c r="D74" s="7">
        <v>61.896000000000001</v>
      </c>
      <c r="E74" s="27">
        <v>0.9995788044634164</v>
      </c>
      <c r="F74" s="7">
        <v>3075.5074999334815</v>
      </c>
      <c r="G74" s="7">
        <v>7866.3347248340724</v>
      </c>
      <c r="H74" s="27">
        <v>0.99999924354822911</v>
      </c>
      <c r="I74" s="8">
        <v>-6.6660654643410178</v>
      </c>
      <c r="J74" s="8">
        <v>146.99706386678116</v>
      </c>
      <c r="K74" s="7">
        <v>134.81200000000001</v>
      </c>
      <c r="L74" s="7">
        <v>2E-3</v>
      </c>
      <c r="M74" s="7">
        <v>2E-3</v>
      </c>
      <c r="N74" s="7">
        <v>8.9999999999999993E-3</v>
      </c>
      <c r="O74" s="9">
        <v>72.915999999999997</v>
      </c>
      <c r="P74" s="6"/>
    </row>
    <row r="75" spans="1:18" s="53" customFormat="1" x14ac:dyDescent="0.2">
      <c r="A75" s="30" t="s">
        <v>91</v>
      </c>
      <c r="B75" s="7">
        <v>499646.88900000002</v>
      </c>
      <c r="C75" s="7">
        <v>9263204.6720000003</v>
      </c>
      <c r="D75" s="7">
        <v>61.912999999999997</v>
      </c>
      <c r="E75" s="27">
        <v>0.99957880187283621</v>
      </c>
      <c r="F75" s="7">
        <v>3046.9084757775317</v>
      </c>
      <c r="G75" s="7">
        <v>7904.8419147743843</v>
      </c>
      <c r="H75" s="27">
        <v>0.99999924095655934</v>
      </c>
      <c r="I75" s="8">
        <v>-6.6657172697014158</v>
      </c>
      <c r="J75" s="8">
        <v>146.99680522794782</v>
      </c>
      <c r="K75" s="7">
        <v>134.82999999999998</v>
      </c>
      <c r="L75" s="7">
        <v>2E-3</v>
      </c>
      <c r="M75" s="7">
        <v>2E-3</v>
      </c>
      <c r="N75" s="7">
        <v>7.0000000000000001E-3</v>
      </c>
      <c r="O75" s="9">
        <v>72.917000000000002</v>
      </c>
      <c r="P75" s="6"/>
      <c r="Q75" s="1"/>
      <c r="R75" s="1"/>
    </row>
    <row r="76" spans="1:18" s="53" customFormat="1" x14ac:dyDescent="0.2">
      <c r="A76" s="30" t="s">
        <v>80</v>
      </c>
      <c r="B76" s="7">
        <v>499551.587</v>
      </c>
      <c r="C76" s="7">
        <v>9263226.3279999997</v>
      </c>
      <c r="D76" s="7">
        <v>61.542000000000002</v>
      </c>
      <c r="E76" s="27">
        <v>0.99957886099292836</v>
      </c>
      <c r="F76" s="7">
        <v>2951.5663902076708</v>
      </c>
      <c r="G76" s="7">
        <v>7926.5070236392785</v>
      </c>
      <c r="H76" s="27">
        <v>0.99999930010151838</v>
      </c>
      <c r="I76" s="8">
        <v>-6.6655213612509394</v>
      </c>
      <c r="J76" s="8">
        <v>146.99594298463902</v>
      </c>
      <c r="K76" s="7">
        <v>134.46</v>
      </c>
      <c r="L76" s="7">
        <v>1E-3</v>
      </c>
      <c r="M76" s="7">
        <v>1E-3</v>
      </c>
      <c r="N76" s="7">
        <v>5.0000000000000001E-3</v>
      </c>
      <c r="O76" s="9">
        <v>72.918000000000006</v>
      </c>
      <c r="P76" s="6"/>
      <c r="Q76" s="1"/>
      <c r="R76" s="1"/>
    </row>
    <row r="77" spans="1:18" x14ac:dyDescent="0.2">
      <c r="A77" s="30" t="s">
        <v>81</v>
      </c>
      <c r="B77" s="7">
        <v>499468.76500000001</v>
      </c>
      <c r="C77" s="7">
        <v>9262955.6329999994</v>
      </c>
      <c r="D77" s="7">
        <v>59.823999999999998</v>
      </c>
      <c r="E77" s="27">
        <v>0.99957913274734922</v>
      </c>
      <c r="F77" s="7">
        <v>2868.7095539285137</v>
      </c>
      <c r="G77" s="7">
        <v>7655.6981649242807</v>
      </c>
      <c r="H77" s="27">
        <v>0.99999957197024358</v>
      </c>
      <c r="I77" s="8">
        <v>-6.6679700856503992</v>
      </c>
      <c r="J77" s="8">
        <v>146.99519362897632</v>
      </c>
      <c r="K77" s="7">
        <v>132.738</v>
      </c>
      <c r="L77" s="7">
        <v>1E-3</v>
      </c>
      <c r="M77" s="7">
        <v>1E-3</v>
      </c>
      <c r="N77" s="7">
        <v>4.0000000000000001E-3</v>
      </c>
      <c r="O77" s="9">
        <v>72.914000000000001</v>
      </c>
      <c r="P77" s="6"/>
    </row>
    <row r="78" spans="1:18" x14ac:dyDescent="0.2">
      <c r="A78" s="30" t="s">
        <v>84</v>
      </c>
      <c r="B78" s="7">
        <v>499703.424</v>
      </c>
      <c r="C78" s="7">
        <v>9262877.3080000002</v>
      </c>
      <c r="D78" s="7">
        <v>60.186</v>
      </c>
      <c r="E78" s="27">
        <v>0.99957907342661823</v>
      </c>
      <c r="F78" s="7">
        <v>3103.4672553158612</v>
      </c>
      <c r="G78" s="7">
        <v>7577.3402201572899</v>
      </c>
      <c r="H78" s="27">
        <v>0.99999951262456133</v>
      </c>
      <c r="I78" s="8">
        <v>-6.6686786366564252</v>
      </c>
      <c r="J78" s="8">
        <v>146.99731671230026</v>
      </c>
      <c r="K78" s="7">
        <v>133.1</v>
      </c>
      <c r="L78" s="7">
        <v>1E-3</v>
      </c>
      <c r="M78" s="7">
        <v>1E-3</v>
      </c>
      <c r="N78" s="7">
        <v>4.0000000000000001E-3</v>
      </c>
      <c r="O78" s="9">
        <v>72.914000000000001</v>
      </c>
      <c r="P78" s="6"/>
    </row>
    <row r="79" spans="1:18" x14ac:dyDescent="0.2">
      <c r="A79" s="31" t="s">
        <v>19</v>
      </c>
      <c r="B79" s="7">
        <v>499225.56388888892</v>
      </c>
      <c r="C79" s="7">
        <v>9262350.3766666688</v>
      </c>
      <c r="D79" s="7">
        <v>54.501302325581392</v>
      </c>
      <c r="E79" s="27">
        <v>0.9995799732507844</v>
      </c>
      <c r="F79" s="7">
        <v>2625.4061484818285</v>
      </c>
      <c r="G79" s="7">
        <v>7050.1872509461828</v>
      </c>
      <c r="H79" s="27">
        <v>1.0000004128272082</v>
      </c>
      <c r="I79" s="8">
        <v>-6.6734452612190225</v>
      </c>
      <c r="J79" s="8">
        <v>146.99299317890379</v>
      </c>
      <c r="K79" s="7">
        <v>127.4173023255814</v>
      </c>
      <c r="L79" s="7">
        <v>5.7467905766240054E-3</v>
      </c>
      <c r="M79" s="7">
        <v>7.9521509140087973E-3</v>
      </c>
      <c r="N79" s="7">
        <v>4.661391857554107E-2</v>
      </c>
      <c r="O79" s="9">
        <v>72.916000000000011</v>
      </c>
    </row>
    <row r="80" spans="1:18" x14ac:dyDescent="0.2">
      <c r="A80" s="30" t="s">
        <v>92</v>
      </c>
      <c r="B80" s="7">
        <v>499299.02600000001</v>
      </c>
      <c r="C80" s="7">
        <v>9262835.0820000004</v>
      </c>
      <c r="D80" s="7">
        <v>58.015999999999998</v>
      </c>
      <c r="E80" s="27">
        <v>0.99957941944999462</v>
      </c>
      <c r="F80" s="7">
        <v>2698.8991589459974</v>
      </c>
      <c r="G80" s="7">
        <v>7535.0964592157397</v>
      </c>
      <c r="H80" s="27">
        <v>0.99999985879348074</v>
      </c>
      <c r="I80" s="8">
        <v>-6.6690605833272381</v>
      </c>
      <c r="J80" s="8">
        <v>146.99365789421498</v>
      </c>
      <c r="K80" s="7">
        <v>130.93100000000001</v>
      </c>
      <c r="L80" s="7">
        <v>3.0000000000000001E-3</v>
      </c>
      <c r="M80" s="7">
        <v>3.0000000000000001E-3</v>
      </c>
      <c r="N80" s="7">
        <v>1.6E-2</v>
      </c>
      <c r="O80" s="9">
        <v>72.915000000000006</v>
      </c>
      <c r="P80" s="6"/>
    </row>
    <row r="81" spans="1:16" x14ac:dyDescent="0.2">
      <c r="A81" s="30" t="s">
        <v>87</v>
      </c>
      <c r="B81" s="7">
        <v>499178.92200000002</v>
      </c>
      <c r="C81" s="7">
        <v>9262889.7780000009</v>
      </c>
      <c r="D81" s="7">
        <v>57.628</v>
      </c>
      <c r="E81" s="27">
        <v>0.9995794827171639</v>
      </c>
      <c r="F81" s="7">
        <v>2578.7446412524932</v>
      </c>
      <c r="G81" s="7">
        <v>7589.8154652428348</v>
      </c>
      <c r="H81" s="27">
        <v>0.99999992208726129</v>
      </c>
      <c r="I81" s="8">
        <v>-6.6685657833110508</v>
      </c>
      <c r="J81" s="8">
        <v>146.99257125327526</v>
      </c>
      <c r="K81" s="7">
        <v>130.54300000000001</v>
      </c>
      <c r="L81" s="7">
        <v>2E-3</v>
      </c>
      <c r="M81" s="7">
        <v>2E-3</v>
      </c>
      <c r="N81" s="7">
        <v>8.0000000000000002E-3</v>
      </c>
      <c r="O81" s="9">
        <v>72.915000000000006</v>
      </c>
      <c r="P81" s="6"/>
    </row>
    <row r="82" spans="1:16" x14ac:dyDescent="0.2">
      <c r="A82" s="30" t="s">
        <v>88</v>
      </c>
      <c r="B82" s="7">
        <v>499345.49699999997</v>
      </c>
      <c r="C82" s="7">
        <v>9263484.6490000002</v>
      </c>
      <c r="D82" s="7">
        <v>63.655000000000001</v>
      </c>
      <c r="E82" s="27">
        <v>0.9995785301642619</v>
      </c>
      <c r="F82" s="7">
        <v>2745.3897054057416</v>
      </c>
      <c r="G82" s="7">
        <v>8184.9366776495008</v>
      </c>
      <c r="H82" s="27">
        <v>0.9999989691336999</v>
      </c>
      <c r="I82" s="8">
        <v>-6.6631845473678233</v>
      </c>
      <c r="J82" s="8">
        <v>146.99407841397957</v>
      </c>
      <c r="K82" s="7">
        <v>136.58199999999999</v>
      </c>
      <c r="L82" s="7">
        <v>2E-3</v>
      </c>
      <c r="M82" s="7">
        <v>2E-3</v>
      </c>
      <c r="N82" s="7">
        <v>7.0000000000000001E-3</v>
      </c>
      <c r="O82" s="9">
        <v>72.927000000000007</v>
      </c>
      <c r="P82" s="6"/>
    </row>
    <row r="83" spans="1:16" x14ac:dyDescent="0.2">
      <c r="A83" s="30" t="s">
        <v>85</v>
      </c>
      <c r="B83" s="7">
        <v>499528.92499999999</v>
      </c>
      <c r="C83" s="7">
        <v>9263430.0120000001</v>
      </c>
      <c r="D83" s="7">
        <v>63.281999999999996</v>
      </c>
      <c r="E83" s="27">
        <v>0.99957858657028253</v>
      </c>
      <c r="F83" s="7">
        <v>2928.8948582044573</v>
      </c>
      <c r="G83" s="7">
        <v>8130.276696439134</v>
      </c>
      <c r="H83" s="27">
        <v>0.99999902556344578</v>
      </c>
      <c r="I83" s="8">
        <v>-6.6636788157222355</v>
      </c>
      <c r="J83" s="8">
        <v>146.99573796616721</v>
      </c>
      <c r="K83" s="7">
        <v>136.20699999999999</v>
      </c>
      <c r="L83" s="7">
        <v>2E-3</v>
      </c>
      <c r="M83" s="7">
        <v>3.0000000000000001E-3</v>
      </c>
      <c r="N83" s="7">
        <v>8.9999999999999993E-3</v>
      </c>
      <c r="O83" s="9">
        <v>72.924999999999997</v>
      </c>
      <c r="P83" s="6"/>
    </row>
    <row r="84" spans="1:16" x14ac:dyDescent="0.2">
      <c r="A84" s="30" t="s">
        <v>86</v>
      </c>
      <c r="B84" s="7">
        <v>499310.261</v>
      </c>
      <c r="C84" s="7">
        <v>9263232.4839999992</v>
      </c>
      <c r="D84" s="7">
        <v>57.338000000000001</v>
      </c>
      <c r="E84" s="27">
        <v>0.99957952522728966</v>
      </c>
      <c r="F84" s="7">
        <v>2710.1388845694491</v>
      </c>
      <c r="G84" s="7">
        <v>7932.665612952318</v>
      </c>
      <c r="H84" s="27">
        <v>0.99999996461526741</v>
      </c>
      <c r="I84" s="8">
        <v>-6.6654656507524228</v>
      </c>
      <c r="J84" s="8">
        <v>146.99375958904162</v>
      </c>
      <c r="K84" s="7">
        <v>130.25700000000001</v>
      </c>
      <c r="L84" s="7">
        <v>2E-3</v>
      </c>
      <c r="M84" s="7">
        <v>2E-3</v>
      </c>
      <c r="N84" s="7">
        <v>6.0000000000000001E-3</v>
      </c>
      <c r="O84" s="9">
        <v>72.918999999999997</v>
      </c>
      <c r="P84" s="6"/>
    </row>
    <row r="85" spans="1:16" x14ac:dyDescent="0.2">
      <c r="A85" s="30" t="s">
        <v>89</v>
      </c>
      <c r="B85" s="7">
        <v>499364.83399999997</v>
      </c>
      <c r="C85" s="7">
        <v>9263170.3259999994</v>
      </c>
      <c r="D85" s="7">
        <v>54.994</v>
      </c>
      <c r="E85" s="27">
        <v>0.99957989319325558</v>
      </c>
      <c r="F85" s="7">
        <v>2764.734838862149</v>
      </c>
      <c r="G85" s="7">
        <v>7870.4814682877623</v>
      </c>
      <c r="H85" s="27">
        <v>1.0000003327360059</v>
      </c>
      <c r="I85" s="8">
        <v>-6.666027943583174</v>
      </c>
      <c r="J85" s="8">
        <v>146.99425333150083</v>
      </c>
      <c r="K85" s="7">
        <v>127.911</v>
      </c>
      <c r="L85" s="7">
        <v>2E-3</v>
      </c>
      <c r="M85" s="7">
        <v>2E-3</v>
      </c>
      <c r="N85" s="7">
        <v>7.0000000000000001E-3</v>
      </c>
      <c r="O85" s="9">
        <v>72.917000000000002</v>
      </c>
      <c r="P85" s="6"/>
    </row>
    <row r="86" spans="1:16" x14ac:dyDescent="0.2">
      <c r="A86" s="31" t="s">
        <v>35</v>
      </c>
      <c r="B86" s="7">
        <v>499625.38150000002</v>
      </c>
      <c r="C86" s="7">
        <v>9262793.8699999992</v>
      </c>
      <c r="D86" s="7">
        <v>58.786153846153852</v>
      </c>
      <c r="E86" s="27">
        <v>0.999579294172245</v>
      </c>
      <c r="F86" s="7">
        <v>3025.3919293728859</v>
      </c>
      <c r="G86" s="7">
        <v>7493.8671247781022</v>
      </c>
      <c r="H86" s="27">
        <v>0.99999973346303728</v>
      </c>
      <c r="I86" s="8">
        <v>-6.6694334198363414</v>
      </c>
      <c r="J86" s="8">
        <v>146.9966106132963</v>
      </c>
      <c r="K86" s="7">
        <v>131.70015384615388</v>
      </c>
      <c r="L86" s="7">
        <v>2.9799999895039962E-3</v>
      </c>
      <c r="M86" s="7">
        <v>2E-3</v>
      </c>
      <c r="N86" s="7">
        <v>7.4276923076925135E-3</v>
      </c>
      <c r="O86" s="9">
        <v>72.91400000000003</v>
      </c>
    </row>
    <row r="87" spans="1:16" x14ac:dyDescent="0.2">
      <c r="A87" s="31" t="s">
        <v>34</v>
      </c>
      <c r="B87" s="7">
        <v>499486.87666666665</v>
      </c>
      <c r="C87" s="7">
        <v>9262688.4986666664</v>
      </c>
      <c r="D87" s="7">
        <v>57.808235294117665</v>
      </c>
      <c r="E87" s="27">
        <v>0.99957944945206945</v>
      </c>
      <c r="F87" s="7">
        <v>2886.8288386559207</v>
      </c>
      <c r="G87" s="7">
        <v>7388.4514705506153</v>
      </c>
      <c r="H87" s="27">
        <v>0.99999988880817492</v>
      </c>
      <c r="I87" s="8">
        <v>-6.6703866079994683</v>
      </c>
      <c r="J87" s="8">
        <v>146.99535747229882</v>
      </c>
      <c r="K87" s="7">
        <v>130.72223529411767</v>
      </c>
      <c r="L87" s="7">
        <v>6.1320427971005113E-3</v>
      </c>
      <c r="M87" s="7">
        <v>4.613333761692047E-3</v>
      </c>
      <c r="N87" s="7">
        <v>1.2491131202597747E-2</v>
      </c>
      <c r="O87" s="9">
        <v>72.914000000000001</v>
      </c>
    </row>
    <row r="88" spans="1:16" x14ac:dyDescent="0.2">
      <c r="A88" s="31" t="s">
        <v>31</v>
      </c>
      <c r="B88" s="7">
        <v>499900.13055555557</v>
      </c>
      <c r="C88" s="7">
        <v>9262525.586666666</v>
      </c>
      <c r="D88" s="7">
        <v>57.381804878048769</v>
      </c>
      <c r="E88" s="27">
        <v>0.99957951352238483</v>
      </c>
      <c r="F88" s="7">
        <v>3300.2565488440423</v>
      </c>
      <c r="G88" s="7">
        <v>7225.4709471160313</v>
      </c>
      <c r="H88" s="27">
        <v>0.9999999529054393</v>
      </c>
      <c r="I88" s="8">
        <v>-6.6718603452498275</v>
      </c>
      <c r="J88" s="8">
        <v>146.99909641986955</v>
      </c>
      <c r="K88" s="7">
        <v>130.29480487804878</v>
      </c>
      <c r="L88" s="7">
        <v>1.0321277170197148E-2</v>
      </c>
      <c r="M88" s="7">
        <v>8.4676697331754966E-3</v>
      </c>
      <c r="N88" s="7">
        <v>1.2667238374534878E-2</v>
      </c>
      <c r="O88" s="9">
        <v>72.913000000000011</v>
      </c>
    </row>
    <row r="89" spans="1:16" x14ac:dyDescent="0.2">
      <c r="A89" s="31" t="s">
        <v>33</v>
      </c>
      <c r="B89" s="7">
        <v>499992.34899999999</v>
      </c>
      <c r="C89" s="7">
        <v>9262667.1373333316</v>
      </c>
      <c r="D89" s="7">
        <v>58.692999999999984</v>
      </c>
      <c r="E89" s="27">
        <v>0.99957930739773326</v>
      </c>
      <c r="F89" s="7">
        <v>3392.5137818639569</v>
      </c>
      <c r="G89" s="7">
        <v>7367.0811522916192</v>
      </c>
      <c r="H89" s="27">
        <v>0.99999974669408853</v>
      </c>
      <c r="I89" s="8">
        <v>-6.6705798663376124</v>
      </c>
      <c r="J89" s="8">
        <v>146.9999307768891</v>
      </c>
      <c r="K89" s="7">
        <v>131.60499999999999</v>
      </c>
      <c r="L89" s="7">
        <v>2E-3</v>
      </c>
      <c r="M89" s="7">
        <v>4.4445482671978086E-3</v>
      </c>
      <c r="N89" s="7">
        <v>7.8800000000002236E-3</v>
      </c>
      <c r="O89" s="9">
        <v>72.912000000000006</v>
      </c>
    </row>
    <row r="90" spans="1:16" x14ac:dyDescent="0.2">
      <c r="A90" s="31" t="s">
        <v>36</v>
      </c>
      <c r="B90" s="7">
        <v>499862.67449999996</v>
      </c>
      <c r="C90" s="7">
        <v>9262865.2870000005</v>
      </c>
      <c r="D90" s="7">
        <v>60.12144444444445</v>
      </c>
      <c r="E90" s="27">
        <v>0.99957908287875552</v>
      </c>
      <c r="F90" s="7">
        <v>3262.7847386676449</v>
      </c>
      <c r="G90" s="7">
        <v>7565.3141639297828</v>
      </c>
      <c r="H90" s="27">
        <v>0.99999952208067433</v>
      </c>
      <c r="I90" s="8">
        <v>-6.6687873854179829</v>
      </c>
      <c r="J90" s="8">
        <v>146.99875753969863</v>
      </c>
      <c r="K90" s="7">
        <v>133.03444444444446</v>
      </c>
      <c r="L90" s="7">
        <v>5.2502923543329364E-3</v>
      </c>
      <c r="M90" s="7">
        <v>6.3826923215989867E-3</v>
      </c>
      <c r="N90" s="7">
        <v>6.4418125540575523E-3</v>
      </c>
      <c r="O90" s="9">
        <v>72.913000000000011</v>
      </c>
    </row>
    <row r="91" spans="1:16" x14ac:dyDescent="0.2">
      <c r="A91" s="31" t="s">
        <v>32</v>
      </c>
      <c r="B91" s="7">
        <v>499766.5955</v>
      </c>
      <c r="C91" s="7">
        <v>9262580.0137647055</v>
      </c>
      <c r="D91" s="7">
        <v>57.277507890961274</v>
      </c>
      <c r="E91" s="27">
        <v>0.99957953031422797</v>
      </c>
      <c r="F91" s="7">
        <v>3166.6653262767072</v>
      </c>
      <c r="G91" s="7">
        <v>7279.9209380770335</v>
      </c>
      <c r="H91" s="27">
        <v>0.99999996970434535</v>
      </c>
      <c r="I91" s="8">
        <v>-6.6713679892665798</v>
      </c>
      <c r="J91" s="8">
        <v>146.9978882484117</v>
      </c>
      <c r="K91" s="7">
        <v>130.19150789096128</v>
      </c>
      <c r="L91" s="7">
        <v>9.0571665783887728E-3</v>
      </c>
      <c r="M91" s="7">
        <v>7.0990764767000555E-3</v>
      </c>
      <c r="N91" s="7">
        <v>3.0623287929071125E-2</v>
      </c>
      <c r="O91" s="9">
        <v>72.914000000000001</v>
      </c>
    </row>
    <row r="92" spans="1:16" x14ac:dyDescent="0.2">
      <c r="A92" s="31" t="s">
        <v>3</v>
      </c>
      <c r="B92" s="7">
        <v>499329.82199999999</v>
      </c>
      <c r="C92" s="7">
        <v>9262080.8333333321</v>
      </c>
      <c r="D92" s="7">
        <v>52.273666666666699</v>
      </c>
      <c r="E92" s="27">
        <v>0.9995803216384388</v>
      </c>
      <c r="F92" s="7">
        <v>2729.7081122445652</v>
      </c>
      <c r="G92" s="7">
        <v>6780.5305433046306</v>
      </c>
      <c r="H92" s="27">
        <v>1.0000007613614001</v>
      </c>
      <c r="I92" s="8">
        <v>-6.6758835859806185</v>
      </c>
      <c r="J92" s="8">
        <v>146.99393643902209</v>
      </c>
      <c r="K92" s="7">
        <v>125.1896666666667</v>
      </c>
      <c r="L92" s="7">
        <v>6.8009998910111436E-3</v>
      </c>
      <c r="M92" s="7">
        <v>4.4445485924348273E-3</v>
      </c>
      <c r="N92" s="7">
        <v>6.8890989853856287E-3</v>
      </c>
      <c r="O92" s="9">
        <v>72.915999999999997</v>
      </c>
    </row>
    <row r="93" spans="1:16" x14ac:dyDescent="0.2">
      <c r="A93" s="31" t="s">
        <v>4</v>
      </c>
      <c r="B93" s="7">
        <v>499036.26033333328</v>
      </c>
      <c r="C93" s="7">
        <v>9262131.8959999997</v>
      </c>
      <c r="D93" s="7">
        <v>52.561227272727294</v>
      </c>
      <c r="E93" s="27">
        <v>0.99958028220419604</v>
      </c>
      <c r="F93" s="7">
        <v>2436.0229687728261</v>
      </c>
      <c r="G93" s="7">
        <v>6831.6146877591964</v>
      </c>
      <c r="H93" s="27">
        <v>1.0000007219105707</v>
      </c>
      <c r="I93" s="8">
        <v>-6.6754216288843971</v>
      </c>
      <c r="J93" s="8">
        <v>146.99128039305063</v>
      </c>
      <c r="K93" s="7">
        <v>125.4782272727273</v>
      </c>
      <c r="L93" s="7">
        <v>6.0274171548248701E-3</v>
      </c>
      <c r="M93" s="7">
        <v>6.2340846169802394E-3</v>
      </c>
      <c r="N93" s="7">
        <v>1.0439218364965095E-2</v>
      </c>
      <c r="O93" s="9">
        <v>72.917000000000002</v>
      </c>
    </row>
    <row r="94" spans="1:16" x14ac:dyDescent="0.2">
      <c r="A94" s="31" t="s">
        <v>26</v>
      </c>
      <c r="B94" s="7">
        <v>499010.29175999999</v>
      </c>
      <c r="C94" s="7">
        <v>9262367.7230967749</v>
      </c>
      <c r="D94" s="7">
        <v>53.887741448382116</v>
      </c>
      <c r="E94" s="27">
        <v>0.99958007410628547</v>
      </c>
      <c r="F94" s="7">
        <v>2410.0434726360868</v>
      </c>
      <c r="G94" s="7">
        <v>7067.5409772426356</v>
      </c>
      <c r="H94" s="27">
        <v>1.0000005137251307</v>
      </c>
      <c r="I94" s="8">
        <v>-6.6732883123859716</v>
      </c>
      <c r="J94" s="8">
        <v>146.99104547649958</v>
      </c>
      <c r="K94" s="7">
        <v>126.80574144838212</v>
      </c>
      <c r="L94" s="7">
        <v>4.8954978284785951E-3</v>
      </c>
      <c r="M94" s="7">
        <v>9.8297955795345216E-3</v>
      </c>
      <c r="N94" s="7">
        <v>7.6184966613273694E-3</v>
      </c>
      <c r="O94" s="9">
        <v>72.918000000000006</v>
      </c>
    </row>
    <row r="95" spans="1:16" x14ac:dyDescent="0.2">
      <c r="A95" s="31" t="s">
        <v>21</v>
      </c>
      <c r="B95" s="7">
        <v>499176.28078571422</v>
      </c>
      <c r="C95" s="7">
        <v>9262357.484571429</v>
      </c>
      <c r="D95" s="7">
        <v>54.309306256077789</v>
      </c>
      <c r="E95" s="27">
        <v>0.99958000441298611</v>
      </c>
      <c r="F95" s="7">
        <v>2576.1023160288487</v>
      </c>
      <c r="G95" s="7">
        <v>7057.2981454066467</v>
      </c>
      <c r="H95" s="27">
        <v>1.0000004440025174</v>
      </c>
      <c r="I95" s="8">
        <v>-6.6733809559585264</v>
      </c>
      <c r="J95" s="8">
        <v>146.99254728397801</v>
      </c>
      <c r="K95" s="7">
        <v>127.22530625607779</v>
      </c>
      <c r="L95" s="7">
        <v>5.761287018807704E-3</v>
      </c>
      <c r="M95" s="7">
        <v>1.5093306926141277E-2</v>
      </c>
      <c r="N95" s="7">
        <v>2.7589239667955727E-2</v>
      </c>
      <c r="O95" s="9">
        <v>72.915999999999997</v>
      </c>
    </row>
    <row r="96" spans="1:16" x14ac:dyDescent="0.2">
      <c r="A96" s="31" t="s">
        <v>30</v>
      </c>
      <c r="B96" s="7">
        <v>499217.70118181821</v>
      </c>
      <c r="C96" s="7">
        <v>9262518.5207213107</v>
      </c>
      <c r="D96" s="7">
        <v>55.538371848157396</v>
      </c>
      <c r="E96" s="27">
        <v>0.99957981034345145</v>
      </c>
      <c r="F96" s="7">
        <v>2617.5401342269538</v>
      </c>
      <c r="G96" s="7">
        <v>7218.4020297095412</v>
      </c>
      <c r="H96" s="27">
        <v>1.0000002498513534</v>
      </c>
      <c r="I96" s="8">
        <v>-6.6719242144517867</v>
      </c>
      <c r="J96" s="8">
        <v>146.99292206177844</v>
      </c>
      <c r="K96" s="7">
        <v>128.45437184815739</v>
      </c>
      <c r="L96" s="7">
        <v>1.6203225804143309E-2</v>
      </c>
      <c r="M96" s="7">
        <v>9.8570994984907446E-3</v>
      </c>
      <c r="N96" s="7">
        <v>2.2061538447489794E-2</v>
      </c>
      <c r="O96" s="9">
        <v>72.915999999999997</v>
      </c>
    </row>
    <row r="97" spans="1:16" x14ac:dyDescent="0.2">
      <c r="A97" s="31" t="s">
        <v>24</v>
      </c>
      <c r="B97" s="7">
        <v>499331.811490566</v>
      </c>
      <c r="C97" s="7">
        <v>9262361.1007520668</v>
      </c>
      <c r="D97" s="7">
        <v>54.655650349650372</v>
      </c>
      <c r="E97" s="27">
        <v>0.99957994724292443</v>
      </c>
      <c r="F97" s="7">
        <v>2731.6984396239886</v>
      </c>
      <c r="G97" s="7">
        <v>7060.9158470688853</v>
      </c>
      <c r="H97" s="27">
        <v>1.0000003868084086</v>
      </c>
      <c r="I97" s="8">
        <v>-6.6733482629339935</v>
      </c>
      <c r="J97" s="8">
        <v>146.99395447040931</v>
      </c>
      <c r="K97" s="7">
        <v>127.57065034965036</v>
      </c>
      <c r="L97" s="7">
        <v>9.8918117197854972E-3</v>
      </c>
      <c r="M97" s="7">
        <v>5.1702446091647343E-3</v>
      </c>
      <c r="N97" s="7">
        <v>1.9196210177865401E-2</v>
      </c>
      <c r="O97" s="9">
        <v>72.914999999999992</v>
      </c>
    </row>
    <row r="98" spans="1:16" x14ac:dyDescent="0.2">
      <c r="A98" s="31" t="s">
        <v>7</v>
      </c>
      <c r="B98" s="7">
        <v>499422.25268852455</v>
      </c>
      <c r="C98" s="7">
        <v>9262264.7924399991</v>
      </c>
      <c r="D98" s="7">
        <v>54.158121951219499</v>
      </c>
      <c r="E98" s="27">
        <v>0.9995800240749888</v>
      </c>
      <c r="F98" s="7">
        <v>2822.177678619204</v>
      </c>
      <c r="G98" s="7">
        <v>6964.567026160541</v>
      </c>
      <c r="H98" s="27">
        <v>1.0000004636727899</v>
      </c>
      <c r="I98" s="8">
        <v>-6.6742194856234862</v>
      </c>
      <c r="J98" s="8">
        <v>146.99477274063665</v>
      </c>
      <c r="K98" s="7">
        <v>127.07312195121951</v>
      </c>
      <c r="L98" s="7">
        <v>1.0675409799258484E-2</v>
      </c>
      <c r="M98" s="7">
        <v>5.7631988644613625E-3</v>
      </c>
      <c r="N98" s="7">
        <v>9.6487804878142257E-3</v>
      </c>
      <c r="O98" s="9">
        <v>72.915000000000006</v>
      </c>
    </row>
    <row r="99" spans="1:16" x14ac:dyDescent="0.2">
      <c r="A99" s="31" t="s">
        <v>9</v>
      </c>
      <c r="B99" s="7">
        <v>499613.63180000003</v>
      </c>
      <c r="C99" s="7">
        <v>9262271.534</v>
      </c>
      <c r="D99" s="7">
        <v>54.924499999999995</v>
      </c>
      <c r="E99" s="27">
        <v>0.99957990160856658</v>
      </c>
      <c r="F99" s="7">
        <v>3013.6372872605093</v>
      </c>
      <c r="G99" s="7">
        <v>6971.3114217710681</v>
      </c>
      <c r="H99" s="27">
        <v>1.0000003411548564</v>
      </c>
      <c r="I99" s="8">
        <v>-6.6741585162050052</v>
      </c>
      <c r="J99" s="8">
        <v>146.99650427357648</v>
      </c>
      <c r="K99" s="7">
        <v>127.83749999999999</v>
      </c>
      <c r="L99" s="7">
        <v>1.062399995326996E-2</v>
      </c>
      <c r="M99" s="7">
        <v>3.9600003212690357E-3</v>
      </c>
      <c r="N99" s="7">
        <v>2.9799999999907526E-3</v>
      </c>
      <c r="O99" s="9">
        <v>72.912999999999997</v>
      </c>
    </row>
    <row r="100" spans="1:16" x14ac:dyDescent="0.2">
      <c r="A100" s="31" t="s">
        <v>23</v>
      </c>
      <c r="B100" s="7">
        <v>499265.16833333333</v>
      </c>
      <c r="C100" s="7">
        <v>9262360.4730000012</v>
      </c>
      <c r="D100" s="7">
        <v>54.528655172413778</v>
      </c>
      <c r="E100" s="27">
        <v>0.99957996836751872</v>
      </c>
      <c r="F100" s="7">
        <v>2665.027251197062</v>
      </c>
      <c r="G100" s="7">
        <v>7060.287830960704</v>
      </c>
      <c r="H100" s="27">
        <v>1.0000004079418885</v>
      </c>
      <c r="I100" s="8">
        <v>-6.6733539338729466</v>
      </c>
      <c r="J100" s="8">
        <v>146.99335150698985</v>
      </c>
      <c r="K100" s="7">
        <v>127.44365517241377</v>
      </c>
      <c r="L100" s="7">
        <v>8.6627188492326736E-3</v>
      </c>
      <c r="M100" s="7">
        <v>4.7718573155990478E-3</v>
      </c>
      <c r="N100" s="7">
        <v>7.6449657261965084E-3</v>
      </c>
      <c r="O100" s="9">
        <v>72.914999999999992</v>
      </c>
    </row>
    <row r="101" spans="1:16" x14ac:dyDescent="0.2">
      <c r="A101" s="31" t="s">
        <v>22</v>
      </c>
      <c r="B101" s="7">
        <v>499266.99920000008</v>
      </c>
      <c r="C101" s="7">
        <v>9262360.4075000007</v>
      </c>
      <c r="D101" s="7">
        <v>54.498499999999993</v>
      </c>
      <c r="E101" s="27">
        <v>0.99957997291831513</v>
      </c>
      <c r="F101" s="7">
        <v>2666.8588879560252</v>
      </c>
      <c r="G101" s="7">
        <v>7060.2223034098279</v>
      </c>
      <c r="H101" s="27">
        <v>1.0000004124945989</v>
      </c>
      <c r="I101" s="8">
        <v>-6.6733545266146921</v>
      </c>
      <c r="J101" s="8">
        <v>146.99336807200586</v>
      </c>
      <c r="K101" s="7">
        <v>127.41449999999999</v>
      </c>
      <c r="L101" s="7">
        <v>6.7039999952539821E-3</v>
      </c>
      <c r="M101" s="7">
        <v>2.9800001606362179E-3</v>
      </c>
      <c r="N101" s="7">
        <v>1.6700000000000555E-2</v>
      </c>
      <c r="O101" s="9">
        <v>72.915999999999997</v>
      </c>
    </row>
    <row r="102" spans="1:16" x14ac:dyDescent="0.2">
      <c r="A102" s="31" t="s">
        <v>20</v>
      </c>
      <c r="B102" s="7">
        <v>499264.47019999998</v>
      </c>
      <c r="C102" s="7">
        <v>9262356.8656000029</v>
      </c>
      <c r="D102" s="7">
        <v>54.487541176470586</v>
      </c>
      <c r="E102" s="27">
        <v>0.99957997468734794</v>
      </c>
      <c r="F102" s="7">
        <v>2664.3288242165622</v>
      </c>
      <c r="G102" s="7">
        <v>7056.6789136314765</v>
      </c>
      <c r="H102" s="27">
        <v>1.0000004142643759</v>
      </c>
      <c r="I102" s="8">
        <v>-6.6733865666411925</v>
      </c>
      <c r="J102" s="8">
        <v>146.99334519008968</v>
      </c>
      <c r="K102" s="7">
        <v>127.40354117647058</v>
      </c>
      <c r="L102" s="7">
        <v>6.7039999952539803E-3</v>
      </c>
      <c r="M102" s="7">
        <v>4.3520003855283956E-3</v>
      </c>
      <c r="N102" s="7">
        <v>1.265317647058864E-2</v>
      </c>
      <c r="O102" s="9">
        <v>72.915999999999997</v>
      </c>
    </row>
    <row r="103" spans="1:16" x14ac:dyDescent="0.2">
      <c r="A103" s="30" t="s">
        <v>54</v>
      </c>
      <c r="B103" s="7">
        <v>499072.02799999999</v>
      </c>
      <c r="C103" s="7">
        <v>9262529.9550000001</v>
      </c>
      <c r="D103" s="7">
        <v>55.593000000000004</v>
      </c>
      <c r="E103" s="27">
        <v>0.9995798048376392</v>
      </c>
      <c r="F103" s="7">
        <v>2471.8056798991211</v>
      </c>
      <c r="G103" s="7">
        <v>7229.8411178421229</v>
      </c>
      <c r="H103" s="27">
        <v>1.0000002443432257</v>
      </c>
      <c r="I103" s="8">
        <v>-6.671820758294186</v>
      </c>
      <c r="J103" s="8">
        <v>146.9916040687396</v>
      </c>
      <c r="K103" s="7">
        <v>128.50900000000001</v>
      </c>
      <c r="L103" s="7">
        <v>2E-3</v>
      </c>
      <c r="M103" s="7">
        <v>2E-3</v>
      </c>
      <c r="N103" s="7">
        <v>1.0999999999999999E-2</v>
      </c>
      <c r="O103" s="9">
        <v>72.915999999999997</v>
      </c>
      <c r="P103" s="6"/>
    </row>
    <row r="104" spans="1:16" x14ac:dyDescent="0.2">
      <c r="A104" s="30" t="s">
        <v>59</v>
      </c>
      <c r="B104" s="7">
        <v>499138.55</v>
      </c>
      <c r="C104" s="7">
        <v>9262900.5999999996</v>
      </c>
      <c r="D104" s="7">
        <v>57.552</v>
      </c>
      <c r="E104" s="27">
        <v>0.99957949550722414</v>
      </c>
      <c r="F104" s="7">
        <v>2538.3556601355072</v>
      </c>
      <c r="G104" s="7">
        <v>7600.6420171505306</v>
      </c>
      <c r="H104" s="27">
        <v>0.99999993488270122</v>
      </c>
      <c r="I104" s="8">
        <v>-6.6684678809069986</v>
      </c>
      <c r="J104" s="8">
        <v>146.99220598701436</v>
      </c>
      <c r="K104" s="7">
        <v>130.46700000000001</v>
      </c>
      <c r="L104" s="7">
        <v>1E-3</v>
      </c>
      <c r="M104" s="7">
        <v>1E-3</v>
      </c>
      <c r="N104" s="7">
        <v>3.0000000000000001E-3</v>
      </c>
      <c r="O104" s="9">
        <v>72.915000000000006</v>
      </c>
      <c r="P104" s="6"/>
    </row>
    <row r="105" spans="1:16" x14ac:dyDescent="0.2">
      <c r="A105" s="30" t="s">
        <v>57</v>
      </c>
      <c r="B105" s="7">
        <v>499333.55599999998</v>
      </c>
      <c r="C105" s="7">
        <v>9263504.8289999999</v>
      </c>
      <c r="D105" s="7">
        <v>62.749000000000002</v>
      </c>
      <c r="E105" s="27">
        <v>0.99957867265180123</v>
      </c>
      <c r="F105" s="7">
        <v>2733.4436828252042</v>
      </c>
      <c r="G105" s="7">
        <v>8205.1251656847307</v>
      </c>
      <c r="H105" s="27">
        <v>0.99999911168117184</v>
      </c>
      <c r="I105" s="8">
        <v>-6.663001995953266</v>
      </c>
      <c r="J105" s="8">
        <v>146.99397038055685</v>
      </c>
      <c r="K105" s="7">
        <v>135.67699999999999</v>
      </c>
      <c r="L105" s="7">
        <v>2E-3</v>
      </c>
      <c r="M105" s="7">
        <v>1E-3</v>
      </c>
      <c r="N105" s="7">
        <v>7.0000000000000001E-3</v>
      </c>
      <c r="O105" s="9">
        <v>72.927999999999997</v>
      </c>
      <c r="P105" s="6"/>
    </row>
    <row r="106" spans="1:16" x14ac:dyDescent="0.2">
      <c r="A106" s="30" t="s">
        <v>56</v>
      </c>
      <c r="B106" s="7">
        <v>499402.886</v>
      </c>
      <c r="C106" s="7">
        <v>9263697.375</v>
      </c>
      <c r="D106" s="7">
        <v>64.959999999999994</v>
      </c>
      <c r="E106" s="27">
        <v>0.99957832298952798</v>
      </c>
      <c r="F106" s="7">
        <v>2802.8028441507804</v>
      </c>
      <c r="G106" s="7">
        <v>8397.7521536604036</v>
      </c>
      <c r="H106" s="27">
        <v>0.99999876187182513</v>
      </c>
      <c r="I106" s="8">
        <v>-6.6612602145916755</v>
      </c>
      <c r="J106" s="8">
        <v>146.9945976593896</v>
      </c>
      <c r="K106" s="7">
        <v>137.89400000000001</v>
      </c>
      <c r="L106" s="7">
        <v>2E-3</v>
      </c>
      <c r="M106" s="7">
        <v>2E-3</v>
      </c>
      <c r="N106" s="7">
        <v>8.9999999999999993E-3</v>
      </c>
      <c r="O106" s="9">
        <v>72.933999999999997</v>
      </c>
      <c r="P106" s="6"/>
    </row>
    <row r="107" spans="1:16" x14ac:dyDescent="0.2">
      <c r="A107" s="30" t="s">
        <v>60</v>
      </c>
      <c r="B107" s="7">
        <v>499467.48700000002</v>
      </c>
      <c r="C107" s="7">
        <v>9262959.9649999999</v>
      </c>
      <c r="D107" s="7">
        <v>59.872</v>
      </c>
      <c r="E107" s="27">
        <v>0.99957912521714321</v>
      </c>
      <c r="F107" s="7">
        <v>2867.4310163808191</v>
      </c>
      <c r="G107" s="7">
        <v>7660.0319870342501</v>
      </c>
      <c r="H107" s="27">
        <v>0.99999956443687021</v>
      </c>
      <c r="I107" s="8">
        <v>-6.6679308978809875</v>
      </c>
      <c r="J107" s="8">
        <v>146.99518206660025</v>
      </c>
      <c r="K107" s="7">
        <v>132.786</v>
      </c>
      <c r="L107" s="7">
        <v>2E-3</v>
      </c>
      <c r="M107" s="7">
        <v>1E-3</v>
      </c>
      <c r="N107" s="7">
        <v>3.0000000000000001E-3</v>
      </c>
      <c r="O107" s="9">
        <v>72.914000000000001</v>
      </c>
      <c r="P107" s="6"/>
    </row>
    <row r="108" spans="1:16" x14ac:dyDescent="0.2">
      <c r="A108" s="30" t="s">
        <v>62</v>
      </c>
      <c r="B108" s="7">
        <v>499413.98599999998</v>
      </c>
      <c r="C108" s="7">
        <v>9262981.9079999998</v>
      </c>
      <c r="D108" s="7">
        <v>59.743000000000002</v>
      </c>
      <c r="E108" s="27">
        <v>0.99957914624023592</v>
      </c>
      <c r="F108" s="7">
        <v>2813.9075129930015</v>
      </c>
      <c r="G108" s="7">
        <v>7681.9842166162562</v>
      </c>
      <c r="H108" s="27">
        <v>0.99999958546880574</v>
      </c>
      <c r="I108" s="8">
        <v>-6.6677323945908462</v>
      </c>
      <c r="J108" s="8">
        <v>146.99469801622371</v>
      </c>
      <c r="K108" s="7">
        <v>132.65700000000001</v>
      </c>
      <c r="L108" s="7">
        <v>2E-3</v>
      </c>
      <c r="M108" s="7">
        <v>2E-3</v>
      </c>
      <c r="N108" s="7">
        <v>4.0000000000000001E-3</v>
      </c>
      <c r="O108" s="9">
        <v>72.914000000000001</v>
      </c>
      <c r="P108" s="6"/>
    </row>
    <row r="109" spans="1:16" x14ac:dyDescent="0.2">
      <c r="A109" s="30" t="s">
        <v>61</v>
      </c>
      <c r="B109" s="7">
        <v>499622.26500000001</v>
      </c>
      <c r="C109" s="7">
        <v>9263390.2430000007</v>
      </c>
      <c r="D109" s="7">
        <v>62.988999999999997</v>
      </c>
      <c r="E109" s="27">
        <v>0.99957863181533912</v>
      </c>
      <c r="F109" s="7">
        <v>3022.274118520796</v>
      </c>
      <c r="G109" s="7">
        <v>8090.4909689523047</v>
      </c>
      <c r="H109" s="27">
        <v>0.99999907082753337</v>
      </c>
      <c r="I109" s="8">
        <v>-6.6640385762540504</v>
      </c>
      <c r="J109" s="8">
        <v>146.9965824539116</v>
      </c>
      <c r="K109" s="7">
        <v>135.91300000000001</v>
      </c>
      <c r="L109" s="7">
        <v>2E-3</v>
      </c>
      <c r="M109" s="7">
        <v>2E-3</v>
      </c>
      <c r="N109" s="7">
        <v>6.0000000000000001E-3</v>
      </c>
      <c r="O109" s="9">
        <v>72.924000000000007</v>
      </c>
      <c r="P109" s="6"/>
    </row>
    <row r="110" spans="1:16" x14ac:dyDescent="0.2">
      <c r="A110" s="30" t="s">
        <v>65</v>
      </c>
      <c r="B110" s="7">
        <v>499753.48100000003</v>
      </c>
      <c r="C110" s="7">
        <v>9263773.6559999995</v>
      </c>
      <c r="D110" s="7">
        <v>66.155000000000001</v>
      </c>
      <c r="E110" s="27">
        <v>0.99957813096812942</v>
      </c>
      <c r="F110" s="7">
        <v>3153.5453101042854</v>
      </c>
      <c r="G110" s="7">
        <v>8474.0652386880247</v>
      </c>
      <c r="H110" s="27">
        <v>0.99999856976965895</v>
      </c>
      <c r="I110" s="8">
        <v>-6.6605701941987325</v>
      </c>
      <c r="J110" s="8">
        <v>146.99776964240348</v>
      </c>
      <c r="K110" s="7">
        <v>139.09199999999998</v>
      </c>
      <c r="L110" s="7">
        <v>2E-3</v>
      </c>
      <c r="M110" s="7">
        <v>2E-3</v>
      </c>
      <c r="N110" s="7">
        <v>7.0000000000000001E-3</v>
      </c>
      <c r="O110" s="9">
        <v>72.936999999999998</v>
      </c>
      <c r="P110" s="6"/>
    </row>
    <row r="111" spans="1:16" x14ac:dyDescent="0.2">
      <c r="A111" s="30" t="s">
        <v>70</v>
      </c>
      <c r="B111" s="7">
        <v>499816.01799999998</v>
      </c>
      <c r="C111" s="7">
        <v>9263917.5840000007</v>
      </c>
      <c r="D111" s="7">
        <v>67.646000000000001</v>
      </c>
      <c r="E111" s="27">
        <v>0.99957789541953068</v>
      </c>
      <c r="F111" s="7">
        <v>3216.1086141850346</v>
      </c>
      <c r="G111" s="7">
        <v>8618.0537771442905</v>
      </c>
      <c r="H111" s="27">
        <v>0.99999833412198491</v>
      </c>
      <c r="I111" s="8">
        <v>-6.6592682105341945</v>
      </c>
      <c r="J111" s="8">
        <v>146.99833544444942</v>
      </c>
      <c r="K111" s="7">
        <v>140.58799999999999</v>
      </c>
      <c r="L111" s="7">
        <v>5.0000000000000001E-3</v>
      </c>
      <c r="M111" s="7">
        <v>4.0000000000000001E-3</v>
      </c>
      <c r="N111" s="7">
        <v>2.5000000000000001E-2</v>
      </c>
      <c r="O111" s="9">
        <v>72.941999999999993</v>
      </c>
      <c r="P111" s="6"/>
    </row>
    <row r="112" spans="1:16" x14ac:dyDescent="0.2">
      <c r="A112" s="30" t="s">
        <v>64</v>
      </c>
      <c r="B112" s="7">
        <v>499861.34899999999</v>
      </c>
      <c r="C112" s="7">
        <v>9264015.1040000003</v>
      </c>
      <c r="D112" s="7">
        <v>68.534000000000006</v>
      </c>
      <c r="E112" s="27">
        <v>0.9995777549897501</v>
      </c>
      <c r="F112" s="7">
        <v>3261.4586811381519</v>
      </c>
      <c r="G112" s="7">
        <v>8715.6147956403438</v>
      </c>
      <c r="H112" s="27">
        <v>0.99999819363313736</v>
      </c>
      <c r="I112" s="8">
        <v>-6.6583860368380643</v>
      </c>
      <c r="J112" s="8">
        <v>146.99874557359118</v>
      </c>
      <c r="K112" s="7">
        <v>141.48000000000002</v>
      </c>
      <c r="L112" s="7">
        <v>2E-3</v>
      </c>
      <c r="M112" s="7">
        <v>2E-3</v>
      </c>
      <c r="N112" s="7">
        <v>8.0000000000000002E-3</v>
      </c>
      <c r="O112" s="9">
        <v>72.945999999999998</v>
      </c>
      <c r="P112" s="6"/>
    </row>
    <row r="113" spans="1:18" x14ac:dyDescent="0.2">
      <c r="A113" s="30" t="s">
        <v>68</v>
      </c>
      <c r="B113" s="7">
        <v>500038.11900000001</v>
      </c>
      <c r="C113" s="7">
        <v>9263972.7829999998</v>
      </c>
      <c r="D113" s="7">
        <v>69.344999999999999</v>
      </c>
      <c r="E113" s="27">
        <v>0.99957762741460321</v>
      </c>
      <c r="F113" s="7">
        <v>3438.3030334717628</v>
      </c>
      <c r="G113" s="7">
        <v>8673.2759947396116</v>
      </c>
      <c r="H113" s="27">
        <v>0.99999806600433028</v>
      </c>
      <c r="I113" s="8">
        <v>-6.6587688779799983</v>
      </c>
      <c r="J113" s="8">
        <v>147.00034487682984</v>
      </c>
      <c r="K113" s="7">
        <v>142.29</v>
      </c>
      <c r="L113" s="7">
        <v>2E-3</v>
      </c>
      <c r="M113" s="7">
        <v>2E-3</v>
      </c>
      <c r="N113" s="7">
        <v>6.0000000000000001E-3</v>
      </c>
      <c r="O113" s="9">
        <v>72.944999999999993</v>
      </c>
      <c r="P113" s="52"/>
      <c r="Q113" s="53"/>
      <c r="R113" s="53"/>
    </row>
    <row r="114" spans="1:18" x14ac:dyDescent="0.2">
      <c r="A114" s="30" t="s">
        <v>69</v>
      </c>
      <c r="B114" s="7">
        <v>499994.16100000002</v>
      </c>
      <c r="C114" s="7">
        <v>9263871.4619999994</v>
      </c>
      <c r="D114" s="7">
        <v>68.593000000000004</v>
      </c>
      <c r="E114" s="27">
        <v>0.99957774626266649</v>
      </c>
      <c r="F114" s="7">
        <v>3394.3265440230316</v>
      </c>
      <c r="G114" s="7">
        <v>8571.9123774805339</v>
      </c>
      <c r="H114" s="27">
        <v>0.9999981849023829</v>
      </c>
      <c r="I114" s="8">
        <v>-6.6596854371866963</v>
      </c>
      <c r="J114" s="8">
        <v>146.99994717228822</v>
      </c>
      <c r="K114" s="7">
        <v>141.53399999999999</v>
      </c>
      <c r="L114" s="7">
        <v>2E-3</v>
      </c>
      <c r="M114" s="7">
        <v>2E-3</v>
      </c>
      <c r="N114" s="7">
        <v>7.0000000000000001E-3</v>
      </c>
      <c r="O114" s="9">
        <v>72.941000000000003</v>
      </c>
      <c r="P114" s="6"/>
    </row>
    <row r="115" spans="1:18" x14ac:dyDescent="0.2">
      <c r="A115" s="30" t="s">
        <v>67</v>
      </c>
      <c r="B115" s="7">
        <v>500116.25900000002</v>
      </c>
      <c r="C115" s="7">
        <v>9263564.8340000007</v>
      </c>
      <c r="D115" s="7">
        <v>67.39</v>
      </c>
      <c r="E115" s="27">
        <v>0.99957793714992393</v>
      </c>
      <c r="F115" s="7">
        <v>3516.4759004230232</v>
      </c>
      <c r="G115" s="7">
        <v>8265.1554047632962</v>
      </c>
      <c r="H115" s="27">
        <v>0.99999837586993057</v>
      </c>
      <c r="I115" s="8">
        <v>-6.6624592209655757</v>
      </c>
      <c r="J115" s="8">
        <v>147.0010518464529</v>
      </c>
      <c r="K115" s="7">
        <v>140.321</v>
      </c>
      <c r="L115" s="7">
        <v>2E-3</v>
      </c>
      <c r="M115" s="7">
        <v>1E-3</v>
      </c>
      <c r="N115" s="7">
        <v>6.0000000000000001E-3</v>
      </c>
      <c r="O115" s="9">
        <v>72.930999999999997</v>
      </c>
      <c r="P115" s="6"/>
    </row>
    <row r="116" spans="1:18" x14ac:dyDescent="0.2">
      <c r="A116" s="30" t="s">
        <v>66</v>
      </c>
      <c r="B116" s="7">
        <v>500179.03899999999</v>
      </c>
      <c r="C116" s="7">
        <v>9263692.4879999999</v>
      </c>
      <c r="D116" s="7">
        <v>68.728999999999999</v>
      </c>
      <c r="E116" s="27">
        <v>0.99957772606294004</v>
      </c>
      <c r="F116" s="7">
        <v>3579.2823067120194</v>
      </c>
      <c r="G116" s="7">
        <v>8392.8630981087917</v>
      </c>
      <c r="H116" s="27">
        <v>0.99999816469416014</v>
      </c>
      <c r="I116" s="8">
        <v>-6.6613044497234029</v>
      </c>
      <c r="J116" s="8">
        <v>147.00161984101604</v>
      </c>
      <c r="K116" s="7">
        <v>141.66500000000002</v>
      </c>
      <c r="L116" s="7">
        <v>1E-3</v>
      </c>
      <c r="M116" s="7">
        <v>1E-3</v>
      </c>
      <c r="N116" s="7">
        <v>4.0000000000000001E-3</v>
      </c>
      <c r="O116" s="9">
        <v>72.936000000000007</v>
      </c>
      <c r="P116" s="6"/>
    </row>
    <row r="117" spans="1:18" x14ac:dyDescent="0.2">
      <c r="A117" s="30" t="s">
        <v>63</v>
      </c>
      <c r="B117" s="7">
        <v>500381.27500000002</v>
      </c>
      <c r="C117" s="7">
        <v>9263878.4059999995</v>
      </c>
      <c r="D117" s="7">
        <v>71.132999999999996</v>
      </c>
      <c r="E117" s="27">
        <v>0.99957734791381336</v>
      </c>
      <c r="F117" s="7">
        <v>3781.603370460833</v>
      </c>
      <c r="G117" s="7">
        <v>8578.8592982398113</v>
      </c>
      <c r="H117" s="27">
        <v>0.9999977863859778</v>
      </c>
      <c r="I117" s="8">
        <v>-6.6596226090867958</v>
      </c>
      <c r="J117" s="8">
        <v>147.00344954328449</v>
      </c>
      <c r="K117" s="7">
        <v>144.07900000000001</v>
      </c>
      <c r="L117" s="7">
        <v>2E-3</v>
      </c>
      <c r="M117" s="7">
        <v>1E-3</v>
      </c>
      <c r="N117" s="7">
        <v>6.0000000000000001E-3</v>
      </c>
      <c r="O117" s="9">
        <v>72.945999999999998</v>
      </c>
      <c r="P117" s="6"/>
    </row>
    <row r="118" spans="1:18" x14ac:dyDescent="0.2">
      <c r="A118" s="31" t="s">
        <v>16</v>
      </c>
      <c r="B118" s="7">
        <v>499204.07842857158</v>
      </c>
      <c r="C118" s="7">
        <v>9262331.9747346956</v>
      </c>
      <c r="D118" s="7">
        <v>54.554495175215834</v>
      </c>
      <c r="E118" s="27">
        <v>0.99957996530495419</v>
      </c>
      <c r="F118" s="7">
        <v>2603.9116510288968</v>
      </c>
      <c r="G118" s="7">
        <v>7031.777578821755</v>
      </c>
      <c r="H118" s="27">
        <v>1.0000004048780358</v>
      </c>
      <c r="I118" s="8">
        <v>-6.673611723890903</v>
      </c>
      <c r="J118" s="8">
        <v>146.99279878370842</v>
      </c>
      <c r="K118" s="7">
        <v>127.47049517521583</v>
      </c>
      <c r="L118" s="7">
        <v>1.0400000010617083E-2</v>
      </c>
      <c r="M118" s="7">
        <v>8.1188244192661307E-3</v>
      </c>
      <c r="N118" s="7">
        <v>1.4410458807821868E-2</v>
      </c>
      <c r="O118" s="9">
        <v>72.915999999999997</v>
      </c>
    </row>
    <row r="119" spans="1:18" x14ac:dyDescent="0.2">
      <c r="A119" s="31" t="s">
        <v>13</v>
      </c>
      <c r="B119" s="7">
        <v>499145.56300000002</v>
      </c>
      <c r="C119" s="7">
        <v>9262312.1290000007</v>
      </c>
      <c r="D119" s="7">
        <v>54.162999999999997</v>
      </c>
      <c r="E119" s="27">
        <v>0.99958002805486379</v>
      </c>
      <c r="F119" s="7">
        <v>2545.3716099164026</v>
      </c>
      <c r="G119" s="7">
        <v>7011.9234966882505</v>
      </c>
      <c r="H119" s="27">
        <v>1.000000467654339</v>
      </c>
      <c r="I119" s="8">
        <v>-6.6737912421105818</v>
      </c>
      <c r="J119" s="8">
        <v>146.99226935403712</v>
      </c>
      <c r="K119" s="7">
        <v>127.07899999999999</v>
      </c>
      <c r="L119" s="7">
        <v>8.0000000000000002E-3</v>
      </c>
      <c r="M119" s="7">
        <v>0.01</v>
      </c>
      <c r="N119" s="7">
        <v>0.02</v>
      </c>
      <c r="O119" s="9">
        <v>72.915999999999997</v>
      </c>
    </row>
    <row r="120" spans="1:18" ht="15" thickBot="1" x14ac:dyDescent="0.25">
      <c r="A120" s="33" t="s">
        <v>8</v>
      </c>
      <c r="B120" s="10">
        <v>499272.81</v>
      </c>
      <c r="C120" s="10">
        <v>9262269.9480000008</v>
      </c>
      <c r="D120" s="10">
        <v>53.688000000000002</v>
      </c>
      <c r="E120" s="34">
        <v>0.99958010040557443</v>
      </c>
      <c r="F120" s="10">
        <v>2672.672132071154</v>
      </c>
      <c r="G120" s="10">
        <v>6969.7247546744766</v>
      </c>
      <c r="H120" s="34">
        <v>1.0000005400354814</v>
      </c>
      <c r="I120" s="12">
        <v>-6.6741728317934488</v>
      </c>
      <c r="J120" s="12">
        <v>146.9934206351148</v>
      </c>
      <c r="K120" s="10">
        <v>126.60299999999999</v>
      </c>
      <c r="L120" s="10">
        <v>4.0000000000000001E-3</v>
      </c>
      <c r="M120" s="10">
        <v>4.0000000000000001E-3</v>
      </c>
      <c r="N120" s="10">
        <v>0.01</v>
      </c>
      <c r="O120" s="11">
        <v>72.914999999999992</v>
      </c>
    </row>
  </sheetData>
  <sortState xmlns:xlrd2="http://schemas.microsoft.com/office/spreadsheetml/2017/richdata2" ref="A4:R120">
    <sortCondition ref="A4:A120"/>
  </sortState>
  <mergeCells count="6">
    <mergeCell ref="A1:O1"/>
    <mergeCell ref="B2:E2"/>
    <mergeCell ref="F2:H2"/>
    <mergeCell ref="I2:K2"/>
    <mergeCell ref="L2:N2"/>
    <mergeCell ref="A2:A3"/>
  </mergeCells>
  <pageMargins left="0.23622047244094491" right="0.23622047244094491" top="0.11811023622047245" bottom="0.11811023622047245" header="0.19685039370078741" footer="0.1181102362204724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61413974771</dc:creator>
  <cp:lastModifiedBy>Richard</cp:lastModifiedBy>
  <cp:lastPrinted>2025-09-25T11:47:43Z</cp:lastPrinted>
  <dcterms:created xsi:type="dcterms:W3CDTF">2025-09-25T10:57:41Z</dcterms:created>
  <dcterms:modified xsi:type="dcterms:W3CDTF">2025-11-30T22:40:49Z</dcterms:modified>
</cp:coreProperties>
</file>